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192.168.50.100\Global_Data\HD\請求関係\2025.4~2026.3\"/>
    </mc:Choice>
  </mc:AlternateContent>
  <xr:revisionPtr revIDLastSave="0" documentId="13_ncr:1_{3F969693-5671-4592-BAB1-D403A0FB03FA}" xr6:coauthVersionLast="47" xr6:coauthVersionMax="47" xr10:uidLastSave="{00000000-0000-0000-0000-000000000000}"/>
  <bookViews>
    <workbookView xWindow="-110" yWindow="-110" windowWidth="19420" windowHeight="10300" tabRatio="888" xr2:uid="{00000000-000D-0000-FFFF-FFFF00000000}"/>
  </bookViews>
  <sheets>
    <sheet name="第20期売上推移表（ロイヤリテー管理）" sheetId="34" r:id="rId1"/>
    <sheet name="①海外ロイヤリテー請求一覧" sheetId="28" r:id="rId2"/>
    <sheet name="③海外請求一覧輸出（食材・備品・その他）" sheetId="30" r:id="rId3"/>
    <sheet name="KR Meet Up" sheetId="39" r:id="rId4"/>
    <sheet name="TWC Royalty 相殺 " sheetId="37" r:id="rId5"/>
    <sheet name="ベトナムRoyalty未入金" sheetId="38" r:id="rId6"/>
    <sheet name="②海外請求一覧（サポート費用）" sheetId="26" r:id="rId7"/>
    <sheet name="ロイヤリティーについて" sheetId="24" r:id="rId8"/>
    <sheet name="海外への請求について（食材・サポート・その他）" sheetId="25" r:id="rId9"/>
    <sheet name="輸出食材一覧" sheetId="29" r:id="rId10"/>
  </sheets>
  <definedNames>
    <definedName name="_xlnm._FilterDatabase" localSheetId="1" hidden="1">①海外ロイヤリテー請求一覧!$B$3:$K$74</definedName>
    <definedName name="_xlnm._FilterDatabase" localSheetId="6" hidden="1">'②海外請求一覧（サポート費用）'!$A$5:$A$11</definedName>
    <definedName name="_xlnm._FilterDatabase" localSheetId="2" hidden="1">'③海外請求一覧輸出（食材・備品・その他）'!$B$3:$H$50</definedName>
    <definedName name="_xlnm.Print_Area" localSheetId="0">'第20期売上推移表（ロイヤリテー管理）'!$A$1:$Q$57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1" i="34" l="1"/>
  <c r="K41" i="34"/>
  <c r="K40" i="34"/>
  <c r="P42" i="34"/>
  <c r="L40" i="34"/>
  <c r="P40" i="34" s="1"/>
  <c r="P30" i="34"/>
  <c r="P34" i="34"/>
  <c r="P32" i="34"/>
  <c r="P41" i="34"/>
  <c r="D42" i="34"/>
  <c r="P39" i="34"/>
  <c r="P38" i="34"/>
  <c r="P36" i="34"/>
  <c r="P35" i="34"/>
  <c r="P31" i="34"/>
  <c r="P27" i="34"/>
  <c r="P37" i="34"/>
  <c r="P33" i="34"/>
  <c r="P29" i="34"/>
  <c r="P8" i="34"/>
  <c r="O37" i="34" l="1"/>
  <c r="O30" i="34"/>
  <c r="O29" i="34"/>
  <c r="O19" i="34" l="1"/>
  <c r="O9" i="34"/>
  <c r="O23" i="34"/>
  <c r="O22" i="34"/>
  <c r="N37" i="34"/>
  <c r="N30" i="34" l="1"/>
  <c r="N29" i="34"/>
  <c r="N38" i="34"/>
  <c r="N33" i="34"/>
  <c r="N19" i="34"/>
  <c r="N22" i="34"/>
  <c r="N23" i="34" s="1"/>
  <c r="M33" i="34"/>
  <c r="M29" i="34"/>
  <c r="M25" i="34" l="1"/>
  <c r="M26" i="34" s="1"/>
  <c r="M37" i="34"/>
  <c r="M38" i="34" s="1"/>
  <c r="M19" i="34"/>
  <c r="M22" i="34"/>
  <c r="M23" i="34" s="1"/>
  <c r="M9" i="34" l="1"/>
  <c r="L29" i="34"/>
  <c r="F34" i="34"/>
  <c r="E34" i="34"/>
  <c r="D34" i="34"/>
  <c r="L33" i="34"/>
  <c r="K33" i="34"/>
  <c r="J33" i="34"/>
  <c r="I33" i="34"/>
  <c r="H33" i="34"/>
  <c r="H34" i="34" s="1"/>
  <c r="G33" i="34"/>
  <c r="G34" i="34" s="1"/>
  <c r="F33" i="34"/>
  <c r="E33" i="34"/>
  <c r="D33" i="34"/>
  <c r="L26" i="34"/>
  <c r="I34" i="34" l="1"/>
  <c r="L30" i="34"/>
  <c r="L19" i="34"/>
  <c r="L23" i="34" l="1"/>
  <c r="K19" i="34"/>
  <c r="L9" i="34"/>
  <c r="K29" i="34"/>
  <c r="K30" i="34" s="1"/>
  <c r="K9" i="34" l="1"/>
  <c r="K22" i="34"/>
  <c r="K23" i="34" s="1"/>
  <c r="J9" i="34"/>
  <c r="J19" i="34" l="1"/>
  <c r="J29" i="34" l="1"/>
  <c r="J30" i="34" s="1"/>
  <c r="J22" i="34"/>
  <c r="J23" i="34" s="1"/>
  <c r="I29" i="34" l="1"/>
  <c r="I30" i="34" s="1"/>
  <c r="I9" i="34" l="1"/>
  <c r="I19" i="34" l="1"/>
  <c r="I22" i="34"/>
  <c r="I23" i="34" s="1"/>
  <c r="H9" i="34"/>
  <c r="H29" i="34" l="1"/>
  <c r="H30" i="34" s="1"/>
  <c r="H26" i="34" l="1"/>
  <c r="H22" i="34"/>
  <c r="H23" i="34" s="1"/>
  <c r="H19" i="34"/>
  <c r="G22" i="34"/>
  <c r="G23" i="34" s="1"/>
  <c r="G38" i="38"/>
  <c r="G26" i="34" l="1"/>
  <c r="G9" i="34" l="1"/>
  <c r="G19" i="34"/>
  <c r="G29" i="34" l="1"/>
  <c r="G30" i="34" s="1"/>
  <c r="F9" i="34"/>
  <c r="E14" i="34" l="1"/>
  <c r="F29" i="34"/>
  <c r="F30" i="34" s="1"/>
  <c r="F26" i="34"/>
  <c r="F19" i="34"/>
  <c r="F22" i="34"/>
  <c r="F23" i="34" s="1"/>
  <c r="E29" i="34"/>
  <c r="E30" i="34" s="1"/>
  <c r="E25" i="34" l="1"/>
  <c r="E26" i="34" s="1"/>
  <c r="E22" i="34"/>
  <c r="E23" i="34" s="1"/>
  <c r="E19" i="34"/>
  <c r="H5" i="37"/>
  <c r="E5" i="37"/>
  <c r="E6" i="37" s="1"/>
  <c r="E7" i="37" s="1"/>
  <c r="E8" i="37" s="1"/>
  <c r="E9" i="37" s="1"/>
  <c r="D14" i="34"/>
  <c r="E10" i="37" l="1"/>
  <c r="E11" i="37" s="1"/>
  <c r="E12" i="37" s="1"/>
  <c r="E13" i="37" s="1"/>
  <c r="E14" i="37" s="1"/>
  <c r="E15" i="37" s="1"/>
  <c r="D29" i="34"/>
  <c r="D30" i="34" s="1"/>
  <c r="D25" i="34" l="1"/>
  <c r="D26" i="34" s="1"/>
  <c r="D19" i="34"/>
  <c r="D22" i="34" l="1"/>
  <c r="D23" i="34" s="1"/>
  <c r="P25" i="34" l="1"/>
  <c r="P28" i="34"/>
  <c r="P24" i="34"/>
  <c r="P21" i="34"/>
  <c r="P20" i="34"/>
  <c r="P19" i="34"/>
  <c r="P18" i="34"/>
  <c r="P17" i="34"/>
  <c r="P16" i="34"/>
  <c r="P14" i="34"/>
  <c r="P15" i="34"/>
  <c r="P13" i="34"/>
  <c r="P12" i="34"/>
  <c r="P11" i="34"/>
  <c r="P10" i="34"/>
  <c r="P7" i="34"/>
  <c r="P6" i="34"/>
  <c r="P5" i="34"/>
  <c r="E39" i="34"/>
  <c r="E40" i="34" s="1"/>
  <c r="F39" i="34"/>
  <c r="F40" i="34" s="1"/>
  <c r="G39" i="34"/>
  <c r="G40" i="34" s="1"/>
  <c r="H39" i="34"/>
  <c r="H40" i="34" s="1"/>
  <c r="I39" i="34"/>
  <c r="I40" i="34" s="1"/>
  <c r="J39" i="34"/>
  <c r="J40" i="34" s="1"/>
  <c r="K39" i="34"/>
  <c r="L39" i="34"/>
  <c r="M39" i="34"/>
  <c r="N39" i="34"/>
  <c r="N40" i="34" s="1"/>
  <c r="O39" i="34"/>
  <c r="O40" i="34" s="1"/>
  <c r="E41" i="34"/>
  <c r="F41" i="34"/>
  <c r="G41" i="34"/>
  <c r="H41" i="34"/>
  <c r="I41" i="34"/>
  <c r="J41" i="34"/>
  <c r="L41" i="34"/>
  <c r="N41" i="34"/>
  <c r="O41" i="34"/>
  <c r="P23" i="34"/>
  <c r="P9" i="34"/>
  <c r="D39" i="34"/>
  <c r="D40" i="34" s="1"/>
  <c r="P22" i="34"/>
  <c r="P26" i="34"/>
  <c r="G25" i="29"/>
  <c r="G24" i="29"/>
  <c r="G23" i="29"/>
  <c r="G22" i="29"/>
  <c r="G21" i="29"/>
  <c r="G20" i="29"/>
  <c r="G16" i="29"/>
  <c r="G15" i="29"/>
  <c r="G10" i="29"/>
  <c r="G9" i="29"/>
  <c r="G7" i="29"/>
  <c r="K42" i="34" l="1"/>
  <c r="L42" i="34"/>
  <c r="J42" i="34"/>
  <c r="I42" i="34"/>
  <c r="H42" i="34"/>
  <c r="G42" i="34"/>
  <c r="F42" i="34"/>
  <c r="E42" i="34"/>
  <c r="O42" i="34"/>
  <c r="N42" i="34"/>
  <c r="M41" i="34"/>
  <c r="M40" i="34"/>
  <c r="M42" i="3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tc={3A68854D-13EA-431C-952F-D0640CB0166E}</author>
  </authors>
  <commentList>
    <comment ref="M30" authorId="0" shapeId="0" xr:uid="{3A68854D-13EA-431C-952F-D0640CB0166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10月、11月、12月3ヶ月引いた後¥226,933
返信:
10～12月分消費税含め請求。税引後 ¥226,933／調整前額 ¥297,731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NPCuser12</author>
  </authors>
  <commentList>
    <comment ref="E7" authorId="0" shapeId="0" xr:uid="{00000000-0006-0000-0600-000001000000}">
      <text>
        <r>
          <rPr>
            <b/>
            <sz val="9"/>
            <color indexed="81"/>
            <rFont val="ＭＳ Ｐゴシック"/>
            <family val="3"/>
            <charset val="128"/>
          </rPr>
          <t>NPCuser12:</t>
        </r>
        <r>
          <rPr>
            <sz val="9"/>
            <color indexed="81"/>
            <rFont val="ＭＳ Ｐゴシック"/>
            <family val="3"/>
            <charset val="128"/>
          </rPr>
          <t xml:space="preserve">
単価変更</t>
        </r>
      </text>
    </comment>
    <comment ref="A23" authorId="0" shapeId="0" xr:uid="{00000000-0006-0000-0600-000002000000}">
      <text>
        <r>
          <rPr>
            <b/>
            <sz val="9"/>
            <color indexed="81"/>
            <rFont val="ＭＳ Ｐゴシック"/>
            <family val="3"/>
            <charset val="128"/>
          </rPr>
          <t>NPCuser12:</t>
        </r>
        <r>
          <rPr>
            <sz val="9"/>
            <color indexed="81"/>
            <rFont val="ＭＳ Ｐゴシック"/>
            <family val="3"/>
            <charset val="128"/>
          </rPr>
          <t xml:space="preserve">
商品追加</t>
        </r>
      </text>
    </comment>
    <comment ref="A24" authorId="0" shapeId="0" xr:uid="{00000000-0006-0000-0600-000003000000}">
      <text>
        <r>
          <rPr>
            <b/>
            <sz val="9"/>
            <color indexed="81"/>
            <rFont val="ＭＳ Ｐゴシック"/>
            <family val="3"/>
            <charset val="128"/>
          </rPr>
          <t>NPCuser12:</t>
        </r>
        <r>
          <rPr>
            <sz val="9"/>
            <color indexed="81"/>
            <rFont val="ＭＳ Ｐゴシック"/>
            <family val="3"/>
            <charset val="128"/>
          </rPr>
          <t xml:space="preserve">
商品追加</t>
        </r>
      </text>
    </comment>
    <comment ref="A25" authorId="0" shapeId="0" xr:uid="{00000000-0006-0000-0600-000004000000}">
      <text>
        <r>
          <rPr>
            <b/>
            <sz val="9"/>
            <color indexed="81"/>
            <rFont val="ＭＳ Ｐゴシック"/>
            <family val="3"/>
            <charset val="128"/>
          </rPr>
          <t>NPCuser12:</t>
        </r>
        <r>
          <rPr>
            <sz val="9"/>
            <color indexed="81"/>
            <rFont val="ＭＳ Ｐゴシック"/>
            <family val="3"/>
            <charset val="128"/>
          </rPr>
          <t xml:space="preserve">
商品追加
</t>
        </r>
      </text>
    </comment>
  </commentList>
</comments>
</file>

<file path=xl/sharedStrings.xml><?xml version="1.0" encoding="utf-8"?>
<sst xmlns="http://schemas.openxmlformats.org/spreadsheetml/2006/main" count="973" uniqueCount="469">
  <si>
    <t>royalty</t>
    <phoneticPr fontId="2"/>
  </si>
  <si>
    <t>Conrad-Manila店</t>
    <rPh sb="13" eb="14">
      <t>テン</t>
    </rPh>
    <phoneticPr fontId="2"/>
  </si>
  <si>
    <t>Ｈawaii Ｈonolulu店</t>
    <phoneticPr fontId="2"/>
  </si>
  <si>
    <t>-</t>
    <phoneticPr fontId="2"/>
  </si>
  <si>
    <t>TEPPAN CHIBOバンコク伊勢丹店</t>
    <phoneticPr fontId="2"/>
  </si>
  <si>
    <t>中国</t>
    <rPh sb="0" eb="2">
      <t>チュウゴク</t>
    </rPh>
    <phoneticPr fontId="2"/>
  </si>
  <si>
    <t>（仮名）インドネシア千房</t>
    <rPh sb="1" eb="2">
      <t>カリ</t>
    </rPh>
    <rPh sb="2" eb="3">
      <t>ナ</t>
    </rPh>
    <rPh sb="10" eb="11">
      <t>セン</t>
    </rPh>
    <rPh sb="11" eb="12">
      <t>フサ</t>
    </rPh>
    <phoneticPr fontId="2"/>
  </si>
  <si>
    <t>CHIBO Hong Kong Mongkok</t>
    <phoneticPr fontId="2"/>
  </si>
  <si>
    <t>①</t>
    <phoneticPr fontId="2"/>
  </si>
  <si>
    <t>売上推移表の金額を入力</t>
    <rPh sb="0" eb="2">
      <t>ウリアゲ</t>
    </rPh>
    <rPh sb="2" eb="4">
      <t>スイイ</t>
    </rPh>
    <rPh sb="4" eb="5">
      <t>ヒョウ</t>
    </rPh>
    <rPh sb="6" eb="8">
      <t>キンガク</t>
    </rPh>
    <rPh sb="9" eb="11">
      <t>ニュウリョク</t>
    </rPh>
    <phoneticPr fontId="2"/>
  </si>
  <si>
    <t>②</t>
    <phoneticPr fontId="2"/>
  </si>
  <si>
    <t>売上推移表の数字を入力</t>
    <rPh sb="0" eb="2">
      <t>ウリアゲ</t>
    </rPh>
    <rPh sb="2" eb="4">
      <t>スイイ</t>
    </rPh>
    <rPh sb="4" eb="5">
      <t>ヒョウ</t>
    </rPh>
    <rPh sb="6" eb="8">
      <t>スウジ</t>
    </rPh>
    <rPh sb="9" eb="11">
      <t>ニュウリョク</t>
    </rPh>
    <phoneticPr fontId="2"/>
  </si>
  <si>
    <r>
      <t>大阪千房大洋百</t>
    </r>
    <r>
      <rPr>
        <sz val="11"/>
        <color theme="1"/>
        <rFont val="ＭＳ Ｐゴシック"/>
        <family val="3"/>
        <charset val="134"/>
        <scheme val="minor"/>
      </rPr>
      <t>货</t>
    </r>
    <r>
      <rPr>
        <sz val="11"/>
        <color theme="1"/>
        <rFont val="ＭＳ Ｐゴシック"/>
        <family val="3"/>
        <charset val="128"/>
        <scheme val="minor"/>
      </rPr>
      <t>福州中城店</t>
    </r>
    <rPh sb="0" eb="2">
      <t>オオサカ</t>
    </rPh>
    <rPh sb="2" eb="4">
      <t>チフサ</t>
    </rPh>
    <rPh sb="4" eb="6">
      <t>タイヨウ</t>
    </rPh>
    <rPh sb="6" eb="7">
      <t>ヒャク</t>
    </rPh>
    <rPh sb="8" eb="10">
      <t>フクシュウ</t>
    </rPh>
    <rPh sb="10" eb="12">
      <t>ナカシロ</t>
    </rPh>
    <rPh sb="12" eb="13">
      <t>テン</t>
    </rPh>
    <phoneticPr fontId="2"/>
  </si>
  <si>
    <t>CGM⇒FC</t>
    <phoneticPr fontId="2"/>
  </si>
  <si>
    <t>royalty</t>
    <phoneticPr fontId="2"/>
  </si>
  <si>
    <t>ハワイへにインボイス</t>
    <phoneticPr fontId="2"/>
  </si>
  <si>
    <t>FCオーナー様へインボイス</t>
    <rPh sb="6" eb="7">
      <t>サマ</t>
    </rPh>
    <phoneticPr fontId="2"/>
  </si>
  <si>
    <t>HD⇒CGM</t>
    <phoneticPr fontId="2"/>
  </si>
  <si>
    <t>インボイス請求先</t>
    <rPh sb="5" eb="7">
      <t>セイキュウ</t>
    </rPh>
    <rPh sb="7" eb="8">
      <t>サキ</t>
    </rPh>
    <phoneticPr fontId="2"/>
  </si>
  <si>
    <t>①</t>
    <phoneticPr fontId="2"/>
  </si>
  <si>
    <t>⇒</t>
    <phoneticPr fontId="2"/>
  </si>
  <si>
    <t>この数字を全てに反映させる</t>
    <rPh sb="2" eb="4">
      <t>スウジ</t>
    </rPh>
    <rPh sb="5" eb="6">
      <t>スベ</t>
    </rPh>
    <rPh sb="8" eb="10">
      <t>ハンエイ</t>
    </rPh>
    <phoneticPr fontId="2"/>
  </si>
  <si>
    <t>③</t>
    <phoneticPr fontId="2"/>
  </si>
  <si>
    <t>インボイスを作成する（CGM⇒FC）</t>
    <rPh sb="6" eb="8">
      <t>サクセイ</t>
    </rPh>
    <phoneticPr fontId="2"/>
  </si>
  <si>
    <t>インボイスを作成する（HD⇒CGM）</t>
    <rPh sb="6" eb="8">
      <t>サクセイ</t>
    </rPh>
    <phoneticPr fontId="2"/>
  </si>
  <si>
    <t>④</t>
    <phoneticPr fontId="2"/>
  </si>
  <si>
    <t>⑤</t>
    <phoneticPr fontId="2"/>
  </si>
  <si>
    <t>全インボイスの原本はHDにて保管（国別）</t>
    <rPh sb="0" eb="1">
      <t>スベ</t>
    </rPh>
    <rPh sb="7" eb="9">
      <t>ゲンポン</t>
    </rPh>
    <rPh sb="14" eb="16">
      <t>ホカン</t>
    </rPh>
    <rPh sb="17" eb="18">
      <t>クニ</t>
    </rPh>
    <rPh sb="18" eb="19">
      <t>ベツ</t>
    </rPh>
    <phoneticPr fontId="2"/>
  </si>
  <si>
    <t>⑥</t>
    <phoneticPr fontId="2"/>
  </si>
  <si>
    <t>インボイスのコピーを金山へ</t>
    <rPh sb="10" eb="12">
      <t>カネヤマ</t>
    </rPh>
    <phoneticPr fontId="2"/>
  </si>
  <si>
    <t>FCお客様店舗</t>
    <rPh sb="3" eb="5">
      <t>キャクサマ</t>
    </rPh>
    <rPh sb="5" eb="7">
      <t>テンポ</t>
    </rPh>
    <phoneticPr fontId="2"/>
  </si>
  <si>
    <t>インボイスをFCお客様へ送付</t>
    <rPh sb="9" eb="11">
      <t>キャクサマ</t>
    </rPh>
    <rPh sb="12" eb="14">
      <t>ソウフ</t>
    </rPh>
    <phoneticPr fontId="2"/>
  </si>
  <si>
    <t>　続き番号で作成をする。</t>
    <rPh sb="1" eb="2">
      <t>ツヅ</t>
    </rPh>
    <rPh sb="3" eb="5">
      <t>バンゴウ</t>
    </rPh>
    <rPh sb="6" eb="8">
      <t>サクセイ</t>
    </rPh>
    <phoneticPr fontId="2"/>
  </si>
  <si>
    <t>※CGM⇒FCへのロイヤリティーのＩＮＶ NumberはHD</t>
    <phoneticPr fontId="2"/>
  </si>
  <si>
    <t>※ロイヤリティーの番号はCGMとHDは必ず合わせる。</t>
    <rPh sb="9" eb="11">
      <t>バンゴウ</t>
    </rPh>
    <rPh sb="19" eb="20">
      <t>カナラ</t>
    </rPh>
    <rPh sb="21" eb="22">
      <t>ア</t>
    </rPh>
    <phoneticPr fontId="2"/>
  </si>
  <si>
    <t>※CGM⇒FCへのロイヤリティーのＩＮＶ NumberはCGM</t>
    <phoneticPr fontId="2"/>
  </si>
  <si>
    <t>※HD⇒海外FCお客様へのＩＮＶ Number＝OD続き番号で作成をする。</t>
    <rPh sb="4" eb="6">
      <t>カイガイ</t>
    </rPh>
    <rPh sb="9" eb="11">
      <t>キャクサマ</t>
    </rPh>
    <phoneticPr fontId="2"/>
  </si>
  <si>
    <t>※ロイヤリティー入金表一覧にて入金の管理を行う</t>
    <rPh sb="8" eb="10">
      <t>ニュウキン</t>
    </rPh>
    <rPh sb="10" eb="11">
      <t>ヒョウ</t>
    </rPh>
    <rPh sb="11" eb="13">
      <t>イチラン</t>
    </rPh>
    <rPh sb="15" eb="17">
      <t>ニュウキン</t>
    </rPh>
    <rPh sb="18" eb="20">
      <t>カンリ</t>
    </rPh>
    <rPh sb="21" eb="22">
      <t>オコナ</t>
    </rPh>
    <phoneticPr fontId="2"/>
  </si>
  <si>
    <t>ロイヤリティー管理手順</t>
    <rPh sb="7" eb="9">
      <t>カンリ</t>
    </rPh>
    <rPh sb="9" eb="11">
      <t>テジュン</t>
    </rPh>
    <phoneticPr fontId="2"/>
  </si>
  <si>
    <t>ロイヤリティー％一覧</t>
    <rPh sb="8" eb="10">
      <t>イチラン</t>
    </rPh>
    <phoneticPr fontId="2"/>
  </si>
  <si>
    <t>Ha Noi Kim Ma店　　　（ハワイのFC）</t>
    <rPh sb="13" eb="14">
      <t>テン</t>
    </rPh>
    <phoneticPr fontId="2"/>
  </si>
  <si>
    <t>Trieu Viet Vuong店 　（ハワイのFC）</t>
    <rPh sb="16" eb="17">
      <t>テン</t>
    </rPh>
    <phoneticPr fontId="2"/>
  </si>
  <si>
    <t>海外全店分のインボイス作成（1枚にまとめる）</t>
    <rPh sb="0" eb="2">
      <t>カイガイ</t>
    </rPh>
    <rPh sb="2" eb="4">
      <t>ゼンテン</t>
    </rPh>
    <rPh sb="4" eb="5">
      <t>ブン</t>
    </rPh>
    <rPh sb="11" eb="13">
      <t>サクセイ</t>
    </rPh>
    <rPh sb="15" eb="16">
      <t>マイ</t>
    </rPh>
    <phoneticPr fontId="2"/>
  </si>
  <si>
    <t>インボイスのコピーを金山さんへ</t>
    <rPh sb="10" eb="12">
      <t>カネヤマ</t>
    </rPh>
    <phoneticPr fontId="2"/>
  </si>
  <si>
    <t>※</t>
    <phoneticPr fontId="2"/>
  </si>
  <si>
    <t>※</t>
    <phoneticPr fontId="2"/>
  </si>
  <si>
    <t>毎月10日までに、売上報告が届かなかった場合、各FCお客様に連絡をいれる。</t>
    <rPh sb="0" eb="2">
      <t>マイツキ</t>
    </rPh>
    <rPh sb="4" eb="5">
      <t>ヒ</t>
    </rPh>
    <rPh sb="9" eb="11">
      <t>ウリアゲ</t>
    </rPh>
    <rPh sb="11" eb="13">
      <t>ホウコク</t>
    </rPh>
    <rPh sb="14" eb="15">
      <t>トド</t>
    </rPh>
    <rPh sb="20" eb="22">
      <t>バアイ</t>
    </rPh>
    <rPh sb="23" eb="24">
      <t>カク</t>
    </rPh>
    <rPh sb="27" eb="29">
      <t>キャクサマ</t>
    </rPh>
    <rPh sb="30" eb="32">
      <t>レンラク</t>
    </rPh>
    <phoneticPr fontId="2"/>
  </si>
  <si>
    <t>毎月15日に請求書をお送りする。</t>
    <rPh sb="0" eb="2">
      <t>マイツキ</t>
    </rPh>
    <rPh sb="4" eb="5">
      <t>ヒ</t>
    </rPh>
    <rPh sb="6" eb="8">
      <t>セイキュウ</t>
    </rPh>
    <rPh sb="8" eb="9">
      <t>ショ</t>
    </rPh>
    <rPh sb="11" eb="12">
      <t>オク</t>
    </rPh>
    <phoneticPr fontId="2"/>
  </si>
  <si>
    <t>※商品のインンボイスは、輸出後にインボイスを作成する。</t>
    <rPh sb="1" eb="3">
      <t>ショウヒン</t>
    </rPh>
    <rPh sb="12" eb="14">
      <t>ユシュツ</t>
    </rPh>
    <rPh sb="14" eb="15">
      <t>ゴ</t>
    </rPh>
    <rPh sb="22" eb="24">
      <t>サクセイ</t>
    </rPh>
    <phoneticPr fontId="2"/>
  </si>
  <si>
    <t>※人件費、交通費のインボイスは、月末にインボイス作成と連絡をする。</t>
    <rPh sb="1" eb="4">
      <t>ジンケンヒ</t>
    </rPh>
    <rPh sb="5" eb="8">
      <t>コウツウヒ</t>
    </rPh>
    <rPh sb="16" eb="18">
      <t>ゲツマツ</t>
    </rPh>
    <rPh sb="24" eb="26">
      <t>サクセイ</t>
    </rPh>
    <rPh sb="27" eb="29">
      <t>レンラク</t>
    </rPh>
    <phoneticPr fontId="2"/>
  </si>
  <si>
    <t>※その他のインボイスは、その都度に処理を行う。</t>
    <rPh sb="3" eb="4">
      <t>タ</t>
    </rPh>
    <rPh sb="14" eb="16">
      <t>ツド</t>
    </rPh>
    <rPh sb="17" eb="19">
      <t>ショリ</t>
    </rPh>
    <rPh sb="20" eb="21">
      <t>オコナ</t>
    </rPh>
    <phoneticPr fontId="2"/>
  </si>
  <si>
    <t>※royaltyは税抜売上で計算をする。</t>
    <rPh sb="9" eb="10">
      <t>ゼイ</t>
    </rPh>
    <rPh sb="10" eb="11">
      <t>ヌ</t>
    </rPh>
    <rPh sb="11" eb="12">
      <t>バイ</t>
    </rPh>
    <rPh sb="12" eb="13">
      <t>ウエ</t>
    </rPh>
    <rPh sb="14" eb="16">
      <t>ケイサン</t>
    </rPh>
    <phoneticPr fontId="2"/>
  </si>
  <si>
    <t>※ベトナムのroyaltyは税抜売上で計算をする。</t>
    <rPh sb="14" eb="15">
      <t>ゼイ</t>
    </rPh>
    <rPh sb="15" eb="16">
      <t>ヌ</t>
    </rPh>
    <rPh sb="16" eb="17">
      <t>バイ</t>
    </rPh>
    <rPh sb="17" eb="18">
      <t>ウエ</t>
    </rPh>
    <rPh sb="19" eb="21">
      <t>ケイサン</t>
    </rPh>
    <phoneticPr fontId="2"/>
  </si>
  <si>
    <t>そのⅠ</t>
    <phoneticPr fontId="2"/>
  </si>
  <si>
    <t>⑥</t>
    <phoneticPr fontId="2"/>
  </si>
  <si>
    <t>海外FCお客様より発注が入る</t>
    <rPh sb="0" eb="2">
      <t>カイガイ</t>
    </rPh>
    <rPh sb="5" eb="7">
      <t>キャクサマ</t>
    </rPh>
    <rPh sb="9" eb="11">
      <t>ハッチュウ</t>
    </rPh>
    <rPh sb="12" eb="13">
      <t>ハイ</t>
    </rPh>
    <phoneticPr fontId="2"/>
  </si>
  <si>
    <t>②</t>
    <phoneticPr fontId="2"/>
  </si>
  <si>
    <t>③</t>
    <phoneticPr fontId="2"/>
  </si>
  <si>
    <t>食材の発注と納品日の確認（食材業者）</t>
    <rPh sb="0" eb="2">
      <t>ショクザイ</t>
    </rPh>
    <rPh sb="3" eb="5">
      <t>ハッチュウ</t>
    </rPh>
    <rPh sb="6" eb="8">
      <t>ノウヒン</t>
    </rPh>
    <rPh sb="8" eb="9">
      <t>ヒ</t>
    </rPh>
    <rPh sb="10" eb="12">
      <t>カクニン</t>
    </rPh>
    <rPh sb="13" eb="15">
      <t>ショクザイ</t>
    </rPh>
    <rPh sb="15" eb="17">
      <t>ギョウシャ</t>
    </rPh>
    <phoneticPr fontId="2"/>
  </si>
  <si>
    <t>輸出業者様（BICフォワーディング）への連絡（納品日と商品一覧を連絡）</t>
    <rPh sb="0" eb="2">
      <t>ユシュツ</t>
    </rPh>
    <rPh sb="2" eb="4">
      <t>ギョウシャ</t>
    </rPh>
    <rPh sb="4" eb="5">
      <t>サマ</t>
    </rPh>
    <rPh sb="20" eb="22">
      <t>レンラク</t>
    </rPh>
    <rPh sb="23" eb="25">
      <t>ノウヒン</t>
    </rPh>
    <rPh sb="25" eb="26">
      <t>ビ</t>
    </rPh>
    <rPh sb="27" eb="29">
      <t>ショウヒン</t>
    </rPh>
    <rPh sb="29" eb="31">
      <t>イチラン</t>
    </rPh>
    <rPh sb="32" eb="34">
      <t>レンラク</t>
    </rPh>
    <phoneticPr fontId="2"/>
  </si>
  <si>
    <t>④</t>
    <phoneticPr fontId="2"/>
  </si>
  <si>
    <t>インボイス・パッキングリスト・契約書の作成</t>
    <rPh sb="15" eb="17">
      <t>ケイヤク</t>
    </rPh>
    <rPh sb="17" eb="18">
      <t>ショ</t>
    </rPh>
    <rPh sb="19" eb="21">
      <t>サクセイ</t>
    </rPh>
    <phoneticPr fontId="2"/>
  </si>
  <si>
    <t>⑤</t>
    <phoneticPr fontId="2"/>
  </si>
  <si>
    <t>植物検疫の準備（ミックス粉と青海苔）</t>
    <rPh sb="0" eb="2">
      <t>ショクブツ</t>
    </rPh>
    <rPh sb="2" eb="4">
      <t>ケンエキ</t>
    </rPh>
    <rPh sb="5" eb="7">
      <t>ジュンビ</t>
    </rPh>
    <rPh sb="12" eb="13">
      <t>コ</t>
    </rPh>
    <rPh sb="14" eb="15">
      <t>アオ</t>
    </rPh>
    <rPh sb="15" eb="17">
      <t>ノリ</t>
    </rPh>
    <phoneticPr fontId="2"/>
  </si>
  <si>
    <t>日程・輸出業者の連絡があります。</t>
    <rPh sb="0" eb="2">
      <t>ニッテイ</t>
    </rPh>
    <rPh sb="3" eb="5">
      <t>ユシュツ</t>
    </rPh>
    <rPh sb="5" eb="7">
      <t>ギョウシャ</t>
    </rPh>
    <rPh sb="8" eb="10">
      <t>レンラク</t>
    </rPh>
    <phoneticPr fontId="2"/>
  </si>
  <si>
    <t>植 物 等 輸 出 検 査 申 請 書に記入しFAXをして、検査日を決める</t>
    <rPh sb="20" eb="22">
      <t>キニュウ</t>
    </rPh>
    <rPh sb="30" eb="33">
      <t>ケンサビ</t>
    </rPh>
    <rPh sb="34" eb="35">
      <t>キ</t>
    </rPh>
    <phoneticPr fontId="2"/>
  </si>
  <si>
    <t>植 物 等 輸 出 検 査に立会いをする。　（植物検疫申請書の原本を必ず持っていく）</t>
    <rPh sb="14" eb="16">
      <t>タチア</t>
    </rPh>
    <rPh sb="23" eb="25">
      <t>ショクブツ</t>
    </rPh>
    <rPh sb="25" eb="27">
      <t>ケンエキ</t>
    </rPh>
    <rPh sb="27" eb="29">
      <t>シンセイ</t>
    </rPh>
    <rPh sb="29" eb="30">
      <t>ショ</t>
    </rPh>
    <rPh sb="31" eb="33">
      <t>ゲンポン</t>
    </rPh>
    <rPh sb="34" eb="35">
      <t>カナラ</t>
    </rPh>
    <rPh sb="36" eb="37">
      <t>モ</t>
    </rPh>
    <phoneticPr fontId="2"/>
  </si>
  <si>
    <t>植物検疫確認書を頂いて、ベトナムへEMSで送る。</t>
    <rPh sb="4" eb="6">
      <t>カクニン</t>
    </rPh>
    <rPh sb="6" eb="7">
      <t>ショ</t>
    </rPh>
    <rPh sb="8" eb="9">
      <t>イタダ</t>
    </rPh>
    <rPh sb="21" eb="22">
      <t>オク</t>
    </rPh>
    <phoneticPr fontId="2"/>
  </si>
  <si>
    <t>インボイスをFCお客様へ送付　　　（アザーチャージに輸送費を必ず入れる。）</t>
    <rPh sb="9" eb="11">
      <t>キャクサマ</t>
    </rPh>
    <rPh sb="12" eb="14">
      <t>ソウフ</t>
    </rPh>
    <rPh sb="26" eb="29">
      <t>ユソウヒ</t>
    </rPh>
    <rPh sb="30" eb="31">
      <t>カナラ</t>
    </rPh>
    <rPh sb="32" eb="33">
      <t>イ</t>
    </rPh>
    <phoneticPr fontId="2"/>
  </si>
  <si>
    <t>海外への請求管理手順（食材・サポート・その他）　　ベトナム</t>
    <rPh sb="6" eb="8">
      <t>カンリ</t>
    </rPh>
    <rPh sb="8" eb="10">
      <t>テジュン</t>
    </rPh>
    <phoneticPr fontId="2"/>
  </si>
  <si>
    <t>海外への請求管理手順（食材・サポート・その他）　　フィリピン</t>
    <rPh sb="6" eb="8">
      <t>カンリ</t>
    </rPh>
    <rPh sb="8" eb="10">
      <t>テジュン</t>
    </rPh>
    <phoneticPr fontId="2"/>
  </si>
  <si>
    <t>sasayama-osaka@oceanlinks.co.jp</t>
    <phoneticPr fontId="2"/>
  </si>
  <si>
    <t>輸出業者様（オーシャンリンクス　担当 篠山）への連絡（納品日と商品一覧を連絡）</t>
    <rPh sb="0" eb="2">
      <t>ユシュツ</t>
    </rPh>
    <rPh sb="2" eb="4">
      <t>ギョウシャ</t>
    </rPh>
    <rPh sb="4" eb="5">
      <t>サマ</t>
    </rPh>
    <rPh sb="16" eb="18">
      <t>タントウ</t>
    </rPh>
    <rPh sb="19" eb="21">
      <t>ササヤマ</t>
    </rPh>
    <rPh sb="24" eb="26">
      <t>レンラク</t>
    </rPh>
    <rPh sb="27" eb="29">
      <t>ノウヒン</t>
    </rPh>
    <rPh sb="29" eb="30">
      <t>ビ</t>
    </rPh>
    <rPh sb="31" eb="33">
      <t>ショウヒン</t>
    </rPh>
    <rPh sb="33" eb="35">
      <t>イチラン</t>
    </rPh>
    <rPh sb="36" eb="38">
      <t>レンラク</t>
    </rPh>
    <phoneticPr fontId="2"/>
  </si>
  <si>
    <t>tel  080-3784-9903</t>
    <phoneticPr fontId="2"/>
  </si>
  <si>
    <t>海外食材</t>
    <phoneticPr fontId="2"/>
  </si>
  <si>
    <t>商品名</t>
    <rPh sb="0" eb="3">
      <t>ショウヒンメイ</t>
    </rPh>
    <phoneticPr fontId="2"/>
  </si>
  <si>
    <t>登録名</t>
    <rPh sb="0" eb="2">
      <t>トウロク</t>
    </rPh>
    <rPh sb="2" eb="3">
      <t>メイ</t>
    </rPh>
    <phoneticPr fontId="2"/>
  </si>
  <si>
    <t>規格</t>
    <rPh sb="0" eb="2">
      <t>キカク</t>
    </rPh>
    <phoneticPr fontId="2"/>
  </si>
  <si>
    <t>入り数</t>
    <rPh sb="0" eb="1">
      <t>イ</t>
    </rPh>
    <rPh sb="2" eb="3">
      <t>スウ</t>
    </rPh>
    <phoneticPr fontId="2"/>
  </si>
  <si>
    <t>仕入単価</t>
    <rPh sb="0" eb="2">
      <t>シイレ</t>
    </rPh>
    <rPh sb="2" eb="4">
      <t>タンカ</t>
    </rPh>
    <phoneticPr fontId="2"/>
  </si>
  <si>
    <t>輸出単価</t>
    <rPh sb="0" eb="2">
      <t>ユシュツ</t>
    </rPh>
    <rPh sb="2" eb="4">
      <t>タンカ</t>
    </rPh>
    <phoneticPr fontId="2"/>
  </si>
  <si>
    <t>W</t>
    <phoneticPr fontId="2"/>
  </si>
  <si>
    <t>Ｄ</t>
    <phoneticPr fontId="2"/>
  </si>
  <si>
    <t>Ｈ</t>
    <phoneticPr fontId="2"/>
  </si>
  <si>
    <t>発注先</t>
    <rPh sb="0" eb="2">
      <t>ハッチュウ</t>
    </rPh>
    <rPh sb="2" eb="3">
      <t>サキ</t>
    </rPh>
    <phoneticPr fontId="2"/>
  </si>
  <si>
    <t>メーカー</t>
    <phoneticPr fontId="2"/>
  </si>
  <si>
    <t>担当</t>
    <rPh sb="0" eb="2">
      <t>タントウ</t>
    </rPh>
    <phoneticPr fontId="2"/>
  </si>
  <si>
    <t>TEL</t>
    <phoneticPr fontId="2"/>
  </si>
  <si>
    <t>携帯</t>
    <rPh sb="0" eb="2">
      <t>ケイタイ</t>
    </rPh>
    <phoneticPr fontId="2"/>
  </si>
  <si>
    <t>ミックス粉</t>
    <rPh sb="4" eb="5">
      <t>コ</t>
    </rPh>
    <phoneticPr fontId="2"/>
  </si>
  <si>
    <t>MIX POWDER</t>
    <phoneticPr fontId="2"/>
  </si>
  <si>
    <t>20kg/bag</t>
    <phoneticPr fontId="2"/>
  </si>
  <si>
    <t>ニップン商事株式会社</t>
    <rPh sb="4" eb="6">
      <t>ショウジ</t>
    </rPh>
    <rPh sb="6" eb="10">
      <t>カブシキガイシャ</t>
    </rPh>
    <phoneticPr fontId="2"/>
  </si>
  <si>
    <t>小野</t>
    <rPh sb="0" eb="2">
      <t>オノ</t>
    </rPh>
    <phoneticPr fontId="2"/>
  </si>
  <si>
    <t>078-412-1200</t>
    <phoneticPr fontId="2"/>
  </si>
  <si>
    <t>090-6885-6697</t>
    <phoneticPr fontId="2"/>
  </si>
  <si>
    <t>フィリピン・ハワイ・香港・台湾</t>
    <rPh sb="10" eb="12">
      <t>ホンコン</t>
    </rPh>
    <rPh sb="13" eb="15">
      <t>タイワン</t>
    </rPh>
    <phoneticPr fontId="2"/>
  </si>
  <si>
    <t>MIX POWDER</t>
    <phoneticPr fontId="2"/>
  </si>
  <si>
    <t>25kg/Bag</t>
    <phoneticPr fontId="2"/>
  </si>
  <si>
    <t>お好み焼ソース</t>
    <rPh sb="1" eb="2">
      <t>コノ</t>
    </rPh>
    <rPh sb="3" eb="4">
      <t>ヤキ</t>
    </rPh>
    <phoneticPr fontId="2"/>
  </si>
  <si>
    <t>OKONOMIYAKI  SAUCE</t>
    <phoneticPr fontId="2"/>
  </si>
  <si>
    <t>OKONOMIYAKI  SAUCE</t>
    <phoneticPr fontId="2"/>
  </si>
  <si>
    <t>1CTN=1800ml×6pcs</t>
    <phoneticPr fontId="2"/>
  </si>
  <si>
    <t>1CTN=1800ml×6pcs</t>
    <phoneticPr fontId="2"/>
  </si>
  <si>
    <t>高瀬物産→輸出業者</t>
    <rPh sb="0" eb="2">
      <t>タカセ</t>
    </rPh>
    <rPh sb="2" eb="4">
      <t>ブッサン</t>
    </rPh>
    <rPh sb="5" eb="7">
      <t>ユシュツ</t>
    </rPh>
    <rPh sb="7" eb="9">
      <t>ギョウシャ</t>
    </rPh>
    <phoneticPr fontId="2"/>
  </si>
  <si>
    <t>オタフクソース株式会社</t>
    <rPh sb="7" eb="11">
      <t>カブシキガイシャ</t>
    </rPh>
    <phoneticPr fontId="2"/>
  </si>
  <si>
    <t>久留島</t>
    <rPh sb="0" eb="1">
      <t>ヒサシ</t>
    </rPh>
    <rPh sb="1" eb="2">
      <t>トド</t>
    </rPh>
    <rPh sb="2" eb="3">
      <t>シマ</t>
    </rPh>
    <phoneticPr fontId="2"/>
  </si>
  <si>
    <t>082-277-7168</t>
    <phoneticPr fontId="2"/>
  </si>
  <si>
    <t>082-277-7168</t>
    <phoneticPr fontId="2"/>
  </si>
  <si>
    <t>080-2932-6846</t>
    <phoneticPr fontId="2"/>
  </si>
  <si>
    <t>フィリピン・香港・タイ</t>
    <rPh sb="6" eb="8">
      <t>ホンコン</t>
    </rPh>
    <phoneticPr fontId="2"/>
  </si>
  <si>
    <t>640で高瀬物産入り（香港はJFCに640で納品</t>
    <rPh sb="4" eb="6">
      <t>タカセ</t>
    </rPh>
    <rPh sb="6" eb="8">
      <t>ブッサン</t>
    </rPh>
    <rPh sb="8" eb="9">
      <t>イ</t>
    </rPh>
    <rPh sb="11" eb="13">
      <t>ホンコン</t>
    </rPh>
    <rPh sb="22" eb="24">
      <t>ノウヒン</t>
    </rPh>
    <phoneticPr fontId="2"/>
  </si>
  <si>
    <t>ウスターソース</t>
    <phoneticPr fontId="2"/>
  </si>
  <si>
    <t>ウスターソース</t>
    <phoneticPr fontId="2"/>
  </si>
  <si>
    <t>WORSTERSHIRE  SAUCE</t>
    <phoneticPr fontId="2"/>
  </si>
  <si>
    <t>WORSTERSHIRE  SAUCE</t>
    <phoneticPr fontId="2"/>
  </si>
  <si>
    <t>1CTN=1800ml×6pcs</t>
    <phoneticPr fontId="2"/>
  </si>
  <si>
    <t>082-277-7168</t>
    <phoneticPr fontId="2"/>
  </si>
  <si>
    <t>080-2932-6846</t>
    <phoneticPr fontId="2"/>
  </si>
  <si>
    <t>49元</t>
    <rPh sb="2" eb="3">
      <t>ゲン</t>
    </rPh>
    <phoneticPr fontId="2"/>
  </si>
  <si>
    <t>56元</t>
    <rPh sb="2" eb="3">
      <t>ゲン</t>
    </rPh>
    <phoneticPr fontId="2"/>
  </si>
  <si>
    <t>082-277-7168</t>
    <phoneticPr fontId="2"/>
  </si>
  <si>
    <t>080-2932-6846</t>
    <phoneticPr fontId="2"/>
  </si>
  <si>
    <t>52元</t>
    <rPh sb="2" eb="3">
      <t>ゲン</t>
    </rPh>
    <phoneticPr fontId="2"/>
  </si>
  <si>
    <t>59元</t>
    <rPh sb="2" eb="3">
      <t>ゲン</t>
    </rPh>
    <phoneticPr fontId="2"/>
  </si>
  <si>
    <t>080-2932-6846</t>
    <phoneticPr fontId="2"/>
  </si>
  <si>
    <t>お好み焼ソースコンテ11kg</t>
    <rPh sb="1" eb="2">
      <t>コノ</t>
    </rPh>
    <rPh sb="3" eb="4">
      <t>ヤキ</t>
    </rPh>
    <phoneticPr fontId="2"/>
  </si>
  <si>
    <t>1CTN=</t>
    <phoneticPr fontId="2"/>
  </si>
  <si>
    <t>キンモンソース</t>
    <phoneticPr fontId="2"/>
  </si>
  <si>
    <t>松田（社長）</t>
    <rPh sb="0" eb="2">
      <t>マツダ</t>
    </rPh>
    <rPh sb="3" eb="5">
      <t>シャチョウ</t>
    </rPh>
    <phoneticPr fontId="2"/>
  </si>
  <si>
    <t>ベトナム・台湾</t>
    <rPh sb="5" eb="7">
      <t>タイワン</t>
    </rPh>
    <phoneticPr fontId="2"/>
  </si>
  <si>
    <t>ウスターソースコンテ11kg</t>
    <phoneticPr fontId="2"/>
  </si>
  <si>
    <t>マヨネーズ</t>
    <phoneticPr fontId="2"/>
  </si>
  <si>
    <t>OKONOMIYAKI WHITE SAUCE</t>
    <phoneticPr fontId="2"/>
  </si>
  <si>
    <t>1CTN=1kg×10pcs</t>
    <phoneticPr fontId="2"/>
  </si>
  <si>
    <t>キユーピー株式会社</t>
    <rPh sb="5" eb="9">
      <t>カブシキガイシャ</t>
    </rPh>
    <phoneticPr fontId="2"/>
  </si>
  <si>
    <t>廣尾</t>
    <rPh sb="0" eb="2">
      <t>ヒロオ</t>
    </rPh>
    <phoneticPr fontId="2"/>
  </si>
  <si>
    <t>06-6369-6918</t>
    <phoneticPr fontId="2"/>
  </si>
  <si>
    <t>090-8462-1289</t>
    <phoneticPr fontId="2"/>
  </si>
  <si>
    <t>フリピン</t>
    <phoneticPr fontId="2"/>
  </si>
  <si>
    <t>塩だれ</t>
    <rPh sb="0" eb="1">
      <t>シオ</t>
    </rPh>
    <phoneticPr fontId="2"/>
  </si>
  <si>
    <t>SHIO DARE</t>
    <phoneticPr fontId="2"/>
  </si>
  <si>
    <t>1CTN=500ml×15pcs</t>
    <phoneticPr fontId="2"/>
  </si>
  <si>
    <t>㈱マナ</t>
    <phoneticPr fontId="2"/>
  </si>
  <si>
    <t>辻田</t>
    <rPh sb="0" eb="2">
      <t>ツジタ</t>
    </rPh>
    <phoneticPr fontId="2"/>
  </si>
  <si>
    <t>090-1954-1953</t>
    <phoneticPr fontId="2"/>
  </si>
  <si>
    <t>すじ青のり</t>
    <rPh sb="2" eb="3">
      <t>アオ</t>
    </rPh>
    <phoneticPr fontId="2"/>
  </si>
  <si>
    <t>SUJI AONORI</t>
  </si>
  <si>
    <t>1CTN=100g</t>
    <phoneticPr fontId="2"/>
  </si>
  <si>
    <t>本井海苔株式会社</t>
    <phoneticPr fontId="2"/>
  </si>
  <si>
    <t>木村</t>
    <rPh sb="0" eb="2">
      <t>キムラ</t>
    </rPh>
    <phoneticPr fontId="2"/>
  </si>
  <si>
    <t>072 634-1989</t>
    <phoneticPr fontId="2"/>
  </si>
  <si>
    <t>080-5307-1767</t>
    <phoneticPr fontId="2"/>
  </si>
  <si>
    <t>フィリピン・ベトナム</t>
    <phoneticPr fontId="2"/>
  </si>
  <si>
    <t>ねぎ焼醤油</t>
    <rPh sb="2" eb="3">
      <t>ヤキ</t>
    </rPh>
    <rPh sb="3" eb="5">
      <t>ショウユ</t>
    </rPh>
    <phoneticPr fontId="2"/>
  </si>
  <si>
    <t>NIGIYAKI SHOUYU</t>
    <phoneticPr fontId="2"/>
  </si>
  <si>
    <t>1CTN=1000ml×12</t>
    <phoneticPr fontId="2"/>
  </si>
  <si>
    <t>ベトナム</t>
    <phoneticPr fontId="2"/>
  </si>
  <si>
    <t>山芋パウダー</t>
    <rPh sb="0" eb="2">
      <t>ヤマイモ</t>
    </rPh>
    <phoneticPr fontId="2"/>
  </si>
  <si>
    <t>YAMAIMO</t>
    <phoneticPr fontId="2"/>
  </si>
  <si>
    <t>1CTN=500g×10pcs</t>
    <phoneticPr fontId="2"/>
  </si>
  <si>
    <t>株式会社ヤマトフーズ</t>
    <rPh sb="0" eb="4">
      <t>カブシキガイシャ</t>
    </rPh>
    <phoneticPr fontId="2"/>
  </si>
  <si>
    <t>山口</t>
    <rPh sb="0" eb="2">
      <t>ヤマグチ</t>
    </rPh>
    <phoneticPr fontId="2"/>
  </si>
  <si>
    <t>06-6350-5800</t>
    <phoneticPr fontId="2"/>
  </si>
  <si>
    <t>090-6268-3321</t>
    <phoneticPr fontId="2"/>
  </si>
  <si>
    <t>糸かつお</t>
    <rPh sb="0" eb="1">
      <t>イト</t>
    </rPh>
    <phoneticPr fontId="2"/>
  </si>
  <si>
    <t>HANA KATSUO</t>
    <phoneticPr fontId="2"/>
  </si>
  <si>
    <t>1CTN=500g×6pcs</t>
    <phoneticPr fontId="2"/>
  </si>
  <si>
    <t>082-277-7168</t>
    <phoneticPr fontId="2"/>
  </si>
  <si>
    <t>080-2932-6846</t>
    <phoneticPr fontId="2"/>
  </si>
  <si>
    <t>紅生姜</t>
    <rPh sb="0" eb="1">
      <t>ベニ</t>
    </rPh>
    <rPh sb="1" eb="3">
      <t>ショウガ</t>
    </rPh>
    <phoneticPr fontId="2"/>
  </si>
  <si>
    <t>BENISHOGA</t>
    <phoneticPr fontId="2"/>
  </si>
  <si>
    <t>1CTN=1kg×12pcs</t>
    <phoneticPr fontId="2"/>
  </si>
  <si>
    <t>ぽん酢</t>
    <rPh sb="2" eb="3">
      <t>ズ</t>
    </rPh>
    <phoneticPr fontId="2"/>
  </si>
  <si>
    <t>PONZU</t>
    <phoneticPr fontId="2"/>
  </si>
  <si>
    <t>1CTN=1.8L×6pcs</t>
    <phoneticPr fontId="2"/>
  </si>
  <si>
    <t>SHIO DARE</t>
    <phoneticPr fontId="2"/>
  </si>
  <si>
    <t>1CTN=1100g×6pcs</t>
    <phoneticPr fontId="2"/>
  </si>
  <si>
    <t>GSブラックティー</t>
    <phoneticPr fontId="2"/>
  </si>
  <si>
    <t>1CTN=1000ml×12pcs</t>
    <phoneticPr fontId="2"/>
  </si>
  <si>
    <t>ニップン商事株式会社→JFCジャパン輸出業者</t>
    <rPh sb="4" eb="6">
      <t>ショウジ</t>
    </rPh>
    <rPh sb="6" eb="10">
      <t>カブシキガイシャ</t>
    </rPh>
    <rPh sb="18" eb="20">
      <t>ユシュツ</t>
    </rPh>
    <rPh sb="20" eb="22">
      <t>ギョウシャ</t>
    </rPh>
    <phoneticPr fontId="2"/>
  </si>
  <si>
    <t>輸出単価、JFC様への納品価格</t>
    <rPh sb="0" eb="2">
      <t>ユシュツ</t>
    </rPh>
    <rPh sb="2" eb="4">
      <t>タンカ</t>
    </rPh>
    <rPh sb="8" eb="9">
      <t>サマ</t>
    </rPh>
    <rPh sb="11" eb="13">
      <t>ノウヒン</t>
    </rPh>
    <rPh sb="13" eb="15">
      <t>カカク</t>
    </rPh>
    <phoneticPr fontId="2"/>
  </si>
  <si>
    <t>￥</t>
    <phoneticPr fontId="2"/>
  </si>
  <si>
    <r>
      <rPr>
        <sz val="20"/>
        <color theme="1"/>
        <rFont val="ＭＳ Ｐゴシック"/>
        <family val="3"/>
        <charset val="128"/>
        <scheme val="minor"/>
      </rPr>
      <t>HD発行</t>
    </r>
    <r>
      <rPr>
        <sz val="11"/>
        <color theme="1"/>
        <rFont val="ＭＳ Ｐゴシック"/>
        <family val="2"/>
        <charset val="128"/>
        <scheme val="minor"/>
      </rPr>
      <t>　⇒　海外FCお客様</t>
    </r>
    <rPh sb="7" eb="9">
      <t>カイガイ</t>
    </rPh>
    <rPh sb="12" eb="14">
      <t>キャクサマ</t>
    </rPh>
    <phoneticPr fontId="2"/>
  </si>
  <si>
    <t>食材・備品・その他</t>
    <rPh sb="0" eb="2">
      <t>ショクザイ</t>
    </rPh>
    <rPh sb="3" eb="5">
      <t>ビヒン</t>
    </rPh>
    <rPh sb="8" eb="9">
      <t>タ</t>
    </rPh>
    <phoneticPr fontId="2"/>
  </si>
  <si>
    <t>千房漢神巨蛋購物廣場店（税抜売上の0.5%）</t>
    <rPh sb="0" eb="1">
      <t>セン</t>
    </rPh>
    <rPh sb="1" eb="2">
      <t>フサ</t>
    </rPh>
    <rPh sb="2" eb="3">
      <t>カラ</t>
    </rPh>
    <rPh sb="3" eb="4">
      <t>カミ</t>
    </rPh>
    <rPh sb="4" eb="5">
      <t>キョ</t>
    </rPh>
    <rPh sb="6" eb="7">
      <t>コウ</t>
    </rPh>
    <rPh sb="7" eb="8">
      <t>モノ</t>
    </rPh>
    <rPh sb="8" eb="10">
      <t>ヒロバ</t>
    </rPh>
    <rPh sb="10" eb="11">
      <t>テン</t>
    </rPh>
    <rPh sb="12" eb="13">
      <t>ゼイ</t>
    </rPh>
    <rPh sb="13" eb="14">
      <t>ヌ</t>
    </rPh>
    <rPh sb="14" eb="16">
      <t>ウリアゲ</t>
    </rPh>
    <phoneticPr fontId="2"/>
  </si>
  <si>
    <t>CGM発行</t>
    <rPh sb="3" eb="5">
      <t>ハッコウ</t>
    </rPh>
    <phoneticPr fontId="2"/>
  </si>
  <si>
    <t>Invoice #</t>
  </si>
  <si>
    <t>Invoice #</t>
    <phoneticPr fontId="2"/>
  </si>
  <si>
    <t>FC Store</t>
  </si>
  <si>
    <t>Country</t>
  </si>
  <si>
    <t>Detail</t>
  </si>
  <si>
    <t>Invoice Date</t>
  </si>
  <si>
    <t>Invoice Date</t>
    <phoneticPr fontId="2"/>
  </si>
  <si>
    <t>Payment Date</t>
  </si>
  <si>
    <t>Amount</t>
  </si>
  <si>
    <t>Country</t>
    <phoneticPr fontId="2"/>
  </si>
  <si>
    <t>CHIBO THE PODIUM-Manila店　　 (閉店)</t>
    <rPh sb="23" eb="24">
      <t>テン</t>
    </rPh>
    <rPh sb="28" eb="30">
      <t>ヘイテン</t>
    </rPh>
    <phoneticPr fontId="2"/>
  </si>
  <si>
    <t>グローバル事業本部</t>
    <rPh sb="5" eb="7">
      <t>ジギョウ</t>
    </rPh>
    <rPh sb="7" eb="9">
      <t>ホンブ</t>
    </rPh>
    <phoneticPr fontId="2"/>
  </si>
  <si>
    <t>国</t>
    <rPh sb="0" eb="1">
      <t>クニ</t>
    </rPh>
    <phoneticPr fontId="2"/>
  </si>
  <si>
    <t>店舗名</t>
    <rPh sb="0" eb="2">
      <t>テンポ</t>
    </rPh>
    <rPh sb="2" eb="3">
      <t>ナ</t>
    </rPh>
    <phoneticPr fontId="2"/>
  </si>
  <si>
    <t>Royalty％</t>
    <phoneticPr fontId="2"/>
  </si>
  <si>
    <t>7月</t>
  </si>
  <si>
    <t>9月</t>
  </si>
  <si>
    <t>10月</t>
  </si>
  <si>
    <t>11月</t>
  </si>
  <si>
    <t>12月</t>
  </si>
  <si>
    <t>1月</t>
  </si>
  <si>
    <t>2月</t>
  </si>
  <si>
    <t>3月</t>
  </si>
  <si>
    <t>各項目合計</t>
    <rPh sb="0" eb="3">
      <t>カクコウモク</t>
    </rPh>
    <rPh sb="3" eb="5">
      <t>ゴウケイ</t>
    </rPh>
    <phoneticPr fontId="2"/>
  </si>
  <si>
    <t>売上（\）</t>
    <rPh sb="0" eb="2">
      <t>ウリアゲ</t>
    </rPh>
    <phoneticPr fontId="2"/>
  </si>
  <si>
    <t>売上（VND）</t>
    <rPh sb="0" eb="2">
      <t>ウリアゲ</t>
    </rPh>
    <phoneticPr fontId="2"/>
  </si>
  <si>
    <t>売上（$）</t>
    <phoneticPr fontId="2"/>
  </si>
  <si>
    <t>売上（CNY）</t>
    <rPh sb="0" eb="2">
      <t>ウリアゲ</t>
    </rPh>
    <phoneticPr fontId="2"/>
  </si>
  <si>
    <t>売上（NT$）</t>
    <rPh sb="0" eb="2">
      <t>ウリアゲ</t>
    </rPh>
    <phoneticPr fontId="2"/>
  </si>
  <si>
    <t>客数</t>
    <phoneticPr fontId="2"/>
  </si>
  <si>
    <r>
      <t>売上（PHP）</t>
    </r>
    <r>
      <rPr>
        <sz val="11"/>
        <color theme="1"/>
        <rFont val="Microsoft YaHei"/>
        <family val="3"/>
        <charset val="134"/>
      </rPr>
      <t xml:space="preserve">       </t>
    </r>
    <rPh sb="0" eb="2">
      <t>ウリアゲ</t>
    </rPh>
    <phoneticPr fontId="2"/>
  </si>
  <si>
    <t>海外インボイス一覧（HD⇒海外FCお客様）　2023.4～2024.3</t>
    <rPh sb="0" eb="2">
      <t>カイガイ</t>
    </rPh>
    <rPh sb="7" eb="9">
      <t>イチラン</t>
    </rPh>
    <rPh sb="13" eb="15">
      <t>カイガイ</t>
    </rPh>
    <rPh sb="18" eb="20">
      <t>キャクサマ</t>
    </rPh>
    <phoneticPr fontId="2"/>
  </si>
  <si>
    <t>HD発行　⇒　FC</t>
    <rPh sb="2" eb="4">
      <t>ハッコウ</t>
    </rPh>
    <phoneticPr fontId="2"/>
  </si>
  <si>
    <t>HD⇒HD Royalty (3%)</t>
  </si>
  <si>
    <t>Royalty 3%　　　　　　　　　　　　　　　　　　　　　Minimum $750 　　　　　　　　　　　　　　　</t>
    <phoneticPr fontId="2"/>
  </si>
  <si>
    <t>Ha Noi Kim Ma店     　　　       ( 1店舗目）</t>
    <rPh sb="13" eb="14">
      <t>テン</t>
    </rPh>
    <rPh sb="32" eb="34">
      <t>テンポ</t>
    </rPh>
    <rPh sb="34" eb="35">
      <t>メ</t>
    </rPh>
    <phoneticPr fontId="2"/>
  </si>
  <si>
    <t>チュンホアニャンチン　　(3店舗目)　　　　　　　　　　　2023年2月2日OPEN</t>
    <phoneticPr fontId="2"/>
  </si>
  <si>
    <t>HD発行　⇒   FC</t>
    <phoneticPr fontId="2"/>
  </si>
  <si>
    <t>Royalty Amount</t>
    <phoneticPr fontId="2"/>
  </si>
  <si>
    <t>Taiwan</t>
  </si>
  <si>
    <t>Deposit Amount</t>
    <phoneticPr fontId="2"/>
  </si>
  <si>
    <t>6月</t>
    <rPh sb="1" eb="2">
      <t>ガツ</t>
    </rPh>
    <phoneticPr fontId="2"/>
  </si>
  <si>
    <t>USD</t>
    <phoneticPr fontId="2"/>
  </si>
  <si>
    <t>JPY</t>
    <phoneticPr fontId="2"/>
  </si>
  <si>
    <t>USD→JPY換算</t>
    <rPh sb="7" eb="9">
      <t>カンサン</t>
    </rPh>
    <phoneticPr fontId="2"/>
  </si>
  <si>
    <r>
      <t>合計</t>
    </r>
    <r>
      <rPr>
        <b/>
        <sz val="12"/>
        <color theme="1"/>
        <rFont val="ＭＳ Ｐゴシック"/>
        <family val="3"/>
        <charset val="128"/>
        <scheme val="minor"/>
      </rPr>
      <t>(日本円)</t>
    </r>
    <rPh sb="0" eb="2">
      <t>ゴウケイ</t>
    </rPh>
    <rPh sb="3" eb="6">
      <t>ニホンエン</t>
    </rPh>
    <phoneticPr fontId="2"/>
  </si>
  <si>
    <t>ベトナム     USD</t>
    <phoneticPr fontId="2"/>
  </si>
  <si>
    <t>台湾               USD</t>
    <rPh sb="0" eb="2">
      <t>タイワン</t>
    </rPh>
    <phoneticPr fontId="2"/>
  </si>
  <si>
    <t>4月</t>
    <rPh sb="1" eb="2">
      <t>ガツ</t>
    </rPh>
    <phoneticPr fontId="2"/>
  </si>
  <si>
    <t>5月</t>
    <rPh sb="1" eb="2">
      <t>ガツ</t>
    </rPh>
    <phoneticPr fontId="2"/>
  </si>
  <si>
    <t>TWCHD-034</t>
    <phoneticPr fontId="2"/>
  </si>
  <si>
    <t>Date</t>
    <phoneticPr fontId="2"/>
  </si>
  <si>
    <t>TWC</t>
  </si>
  <si>
    <t>中西さん人件費</t>
    <rPh sb="0" eb="2">
      <t>ナカニシ</t>
    </rPh>
    <rPh sb="4" eb="7">
      <t>ジンケンヒ</t>
    </rPh>
    <phoneticPr fontId="2"/>
  </si>
  <si>
    <t>売上（KRW）</t>
    <rPh sb="0" eb="2">
      <t>ウリアゲ</t>
    </rPh>
    <phoneticPr fontId="2"/>
  </si>
  <si>
    <t>韓国江南新沙店　 　　1店舗目　　　　　　Kim Jongnam</t>
    <rPh sb="12" eb="15">
      <t>テンポメ</t>
    </rPh>
    <phoneticPr fontId="2"/>
  </si>
  <si>
    <t>Royalty 3% (2024 Apr 0.5%→3%)      Minimum $750</t>
    <phoneticPr fontId="2"/>
  </si>
  <si>
    <t>阪急寧波店</t>
  </si>
  <si>
    <t>Mitsukoshi BGC</t>
  </si>
  <si>
    <t>漢神巨蛋購物廣場店</t>
  </si>
  <si>
    <t>Trung Hòa Nhân Chính</t>
  </si>
  <si>
    <t>China</t>
  </si>
  <si>
    <t>Philippines</t>
  </si>
  <si>
    <t>Vietnam</t>
  </si>
  <si>
    <t>客数</t>
  </si>
  <si>
    <t>HD⇒FC Royalty（3%）                                 Minimum \70,000</t>
    <phoneticPr fontId="2"/>
  </si>
  <si>
    <t>HD⇒HD Royalty (3%) Minimum \150,000</t>
    <phoneticPr fontId="2"/>
  </si>
  <si>
    <t>KR 1 Gangnam Sinsa</t>
  </si>
  <si>
    <t>Korea</t>
  </si>
  <si>
    <t>KR 2 Goraewa co.</t>
  </si>
  <si>
    <t>8月</t>
    <rPh sb="1" eb="2">
      <t>ガツ</t>
    </rPh>
    <phoneticPr fontId="2"/>
  </si>
  <si>
    <t>CHDR-086</t>
  </si>
  <si>
    <t>CHDR-093</t>
  </si>
  <si>
    <t>Nov.18.2024</t>
  </si>
  <si>
    <t>多く振込された額</t>
    <rPh sb="0" eb="1">
      <t>オオ</t>
    </rPh>
    <rPh sb="2" eb="4">
      <t>フリコミ</t>
    </rPh>
    <rPh sb="7" eb="8">
      <t>ガク</t>
    </rPh>
    <phoneticPr fontId="2"/>
  </si>
  <si>
    <t>Oct.18.2024</t>
  </si>
  <si>
    <t>2023年6月～2024年8月 Royalty額</t>
    <rPh sb="23" eb="24">
      <t>ガク</t>
    </rPh>
    <phoneticPr fontId="2"/>
  </si>
  <si>
    <t>相殺残高</t>
    <rPh sb="0" eb="2">
      <t>ソウサイ</t>
    </rPh>
    <rPh sb="2" eb="4">
      <t>ザンダカ</t>
    </rPh>
    <phoneticPr fontId="2"/>
  </si>
  <si>
    <t>請求書金額</t>
    <rPh sb="0" eb="3">
      <t>セイキュウショ</t>
    </rPh>
    <rPh sb="3" eb="5">
      <t>キンガク</t>
    </rPh>
    <phoneticPr fontId="2"/>
  </si>
  <si>
    <t>請求書番号</t>
    <rPh sb="0" eb="3">
      <t>セイキュウショ</t>
    </rPh>
    <rPh sb="3" eb="5">
      <t>バンゴウ</t>
    </rPh>
    <phoneticPr fontId="2"/>
  </si>
  <si>
    <t>請求書発行日</t>
    <rPh sb="0" eb="3">
      <t>セイキュウショ</t>
    </rPh>
    <rPh sb="3" eb="5">
      <t>ハッコウ</t>
    </rPh>
    <rPh sb="5" eb="6">
      <t>ビ</t>
    </rPh>
    <phoneticPr fontId="2"/>
  </si>
  <si>
    <t>金額:USD</t>
    <rPh sb="0" eb="2">
      <t>キンガク</t>
    </rPh>
    <phoneticPr fontId="2"/>
  </si>
  <si>
    <t>2024/9/27入金額</t>
    <rPh sb="9" eb="12">
      <t>ニュウキンガク</t>
    </rPh>
    <phoneticPr fontId="2"/>
  </si>
  <si>
    <t>Mitsukoshi BGC       (三店舗目)　　　　　　2023年2月10日OPEN</t>
    <phoneticPr fontId="2"/>
  </si>
  <si>
    <t>寧波阪急店</t>
    <rPh sb="2" eb="4">
      <t>ハンキュウ</t>
    </rPh>
    <rPh sb="4" eb="5">
      <t>テン</t>
    </rPh>
    <phoneticPr fontId="2"/>
  </si>
  <si>
    <r>
      <t xml:space="preserve">フィリピン    </t>
    </r>
    <r>
      <rPr>
        <sz val="12"/>
        <color theme="1"/>
        <rFont val="ＭＳ Ｐゴシック"/>
        <family val="3"/>
        <charset val="128"/>
        <scheme val="minor"/>
      </rPr>
      <t>JPY</t>
    </r>
    <phoneticPr fontId="2"/>
  </si>
  <si>
    <r>
      <t>中国</t>
    </r>
    <r>
      <rPr>
        <sz val="12"/>
        <color theme="1"/>
        <rFont val="Microsoft YaHei"/>
        <family val="3"/>
        <charset val="134"/>
      </rPr>
      <t xml:space="preserve">                      JPY</t>
    </r>
    <rPh sb="0" eb="2">
      <t>チュウゴク</t>
    </rPh>
    <phoneticPr fontId="2"/>
  </si>
  <si>
    <t>海外Royalty請求一覧（HD⇒海外FC）　　2025.4～2026.3</t>
    <phoneticPr fontId="2"/>
  </si>
  <si>
    <t>2025年4月～2026年3月HDに計上  海外売上推移表（為替の相場により売上額は変動いたします。）</t>
    <rPh sb="4" eb="5">
      <t>ネン</t>
    </rPh>
    <rPh sb="6" eb="7">
      <t>ガツ</t>
    </rPh>
    <rPh sb="12" eb="13">
      <t>ネン</t>
    </rPh>
    <rPh sb="14" eb="15">
      <t>ガツ</t>
    </rPh>
    <rPh sb="18" eb="20">
      <t>ケイジョウ</t>
    </rPh>
    <phoneticPr fontId="2"/>
  </si>
  <si>
    <t>Dec.16.2024</t>
  </si>
  <si>
    <t>CHDR-100</t>
  </si>
  <si>
    <t>Jan.16.2025</t>
    <phoneticPr fontId="2"/>
  </si>
  <si>
    <t>CHDR-107</t>
  </si>
  <si>
    <t>Feb.04.2025</t>
  </si>
  <si>
    <t>CHDR-114</t>
    <phoneticPr fontId="2"/>
  </si>
  <si>
    <t>Mar.04.2025</t>
    <phoneticPr fontId="2"/>
  </si>
  <si>
    <t>CHDR-121</t>
    <phoneticPr fontId="2"/>
  </si>
  <si>
    <t>CHDR-135</t>
  </si>
  <si>
    <t>May.13.2025</t>
  </si>
  <si>
    <t>Apr.08.2025</t>
    <phoneticPr fontId="2"/>
  </si>
  <si>
    <t>CHDR-128</t>
    <phoneticPr fontId="2"/>
  </si>
  <si>
    <t>CHDR-133</t>
  </si>
  <si>
    <t>CHDR-134</t>
  </si>
  <si>
    <t>CHDR-136</t>
  </si>
  <si>
    <t>CHDR-137</t>
  </si>
  <si>
    <t>CHDR-138</t>
  </si>
  <si>
    <t>CHDR-141</t>
  </si>
  <si>
    <t>Jun.16.2025</t>
  </si>
  <si>
    <t>Jun.13.2025</t>
    <phoneticPr fontId="2"/>
  </si>
  <si>
    <t>CHDR-139</t>
  </si>
  <si>
    <t>CHDR-140</t>
  </si>
  <si>
    <t>CHDR-142</t>
  </si>
  <si>
    <t>Jul.15.2025</t>
    <phoneticPr fontId="2"/>
  </si>
  <si>
    <t>CHDR-147</t>
  </si>
  <si>
    <t>CHDR-147</t>
    <phoneticPr fontId="2"/>
  </si>
  <si>
    <t>Jul.15.2025</t>
    <phoneticPr fontId="2"/>
  </si>
  <si>
    <t>CHDR-145</t>
  </si>
  <si>
    <t>CHDR-146</t>
  </si>
  <si>
    <t>CHDR-148</t>
  </si>
  <si>
    <t>CHDR-149</t>
  </si>
  <si>
    <t>CHDR-143</t>
    <phoneticPr fontId="2"/>
  </si>
  <si>
    <t>CHDR-152</t>
  </si>
  <si>
    <t>Aug.7.2025</t>
  </si>
  <si>
    <t>CHDR-34</t>
  </si>
  <si>
    <t>Ha Noi Kim Ma</t>
  </si>
  <si>
    <t>CHDR-35</t>
  </si>
  <si>
    <t>CHDR-39</t>
  </si>
  <si>
    <t>CHDR-40</t>
  </si>
  <si>
    <t>CHDR-46</t>
  </si>
  <si>
    <t>CHDR-47</t>
  </si>
  <si>
    <t>CHDR-51</t>
  </si>
  <si>
    <t>CHDR-52</t>
  </si>
  <si>
    <t>CHDR-056</t>
  </si>
  <si>
    <t>CHDR-057</t>
  </si>
  <si>
    <t>CHDR-061</t>
  </si>
  <si>
    <t>CHDR-062</t>
  </si>
  <si>
    <t>CHDR-067</t>
  </si>
  <si>
    <t>CHDR-068</t>
  </si>
  <si>
    <t>CHDR-073</t>
  </si>
  <si>
    <t>CHDR-074</t>
  </si>
  <si>
    <t>CHDR-080</t>
  </si>
  <si>
    <t>CHDR-081</t>
  </si>
  <si>
    <t>CHDR-087</t>
  </si>
  <si>
    <t>CHDR-088</t>
  </si>
  <si>
    <t>CHDR-094</t>
  </si>
  <si>
    <t>CHDR-095</t>
  </si>
  <si>
    <t>CHDR-101</t>
  </si>
  <si>
    <t>CHDR-102</t>
  </si>
  <si>
    <t>CHDR-108</t>
  </si>
  <si>
    <t>CHDR-109</t>
  </si>
  <si>
    <t>CHDR-115</t>
  </si>
  <si>
    <t>CHDR-116</t>
  </si>
  <si>
    <t>CHDR-122</t>
  </si>
  <si>
    <t>CHDR-123</t>
  </si>
  <si>
    <t>CHDR-129</t>
  </si>
  <si>
    <t>CHDR-130</t>
  </si>
  <si>
    <t>合計</t>
    <rPh sb="0" eb="2">
      <t>ゴウケイ</t>
    </rPh>
    <phoneticPr fontId="2"/>
  </si>
  <si>
    <t>CHDR-144</t>
    <phoneticPr fontId="2"/>
  </si>
  <si>
    <t>CHDR-150</t>
  </si>
  <si>
    <t>CHDR-151</t>
  </si>
  <si>
    <t>CHDR-153</t>
  </si>
  <si>
    <t>CHDR-154</t>
  </si>
  <si>
    <t>CHDR-155</t>
  </si>
  <si>
    <t>CHDR-156</t>
  </si>
  <si>
    <t>CHDR-157</t>
  </si>
  <si>
    <t>CHDR-158</t>
  </si>
  <si>
    <t>CHDR-159</t>
  </si>
  <si>
    <t>Aug.8.2025</t>
    <phoneticPr fontId="2"/>
  </si>
  <si>
    <t>Aug.20.2025</t>
    <phoneticPr fontId="2"/>
  </si>
  <si>
    <t>KR / 大邱</t>
  </si>
  <si>
    <t>KR / パンギョ</t>
  </si>
  <si>
    <t>KR / アックジョン</t>
  </si>
  <si>
    <t>支払い済み</t>
    <rPh sb="0" eb="2">
      <t>シハラ</t>
    </rPh>
    <rPh sb="3" eb="4">
      <t>ズ</t>
    </rPh>
    <phoneticPr fontId="2"/>
  </si>
  <si>
    <t>Sep.11.2025</t>
    <phoneticPr fontId="2"/>
  </si>
  <si>
    <t>CHDR-160</t>
  </si>
  <si>
    <t>CHDR-161</t>
  </si>
  <si>
    <t>CHDR-162</t>
  </si>
  <si>
    <t>CHDR-163</t>
  </si>
  <si>
    <t>CHDR-164</t>
  </si>
  <si>
    <t>CHDR-165</t>
  </si>
  <si>
    <t>CHDR-166</t>
  </si>
  <si>
    <t>Oct.1.2025</t>
    <phoneticPr fontId="2"/>
  </si>
  <si>
    <t>CHDR-167</t>
    <phoneticPr fontId="2"/>
  </si>
  <si>
    <t>CHDR-168</t>
  </si>
  <si>
    <t>CHDR-169</t>
  </si>
  <si>
    <t>CHDR-170</t>
  </si>
  <si>
    <t>CHDR-171</t>
  </si>
  <si>
    <t>CHDR-172</t>
  </si>
  <si>
    <t>CHDR-173</t>
  </si>
  <si>
    <t>Oct.20.2025</t>
  </si>
  <si>
    <t>Oct.20.2025</t>
    <phoneticPr fontId="2"/>
  </si>
  <si>
    <t>海外インボイス一覧（HD⇒海外FCお客様）　2025.4.1～</t>
    <rPh sb="0" eb="2">
      <t>カイガイ</t>
    </rPh>
    <rPh sb="7" eb="9">
      <t>イチラン</t>
    </rPh>
    <rPh sb="13" eb="15">
      <t>カイガイ</t>
    </rPh>
    <rPh sb="18" eb="20">
      <t>キャクサマ</t>
    </rPh>
    <phoneticPr fontId="2"/>
  </si>
  <si>
    <t>HDO-050</t>
  </si>
  <si>
    <t>Aug.26.2025</t>
    <phoneticPr fontId="2"/>
  </si>
  <si>
    <t>大邱Air Fare</t>
  </si>
  <si>
    <t>HDO-051</t>
  </si>
  <si>
    <t>大田Air Fare</t>
  </si>
  <si>
    <t>HDO-052</t>
  </si>
  <si>
    <t>Sep.24.2025</t>
    <phoneticPr fontId="2"/>
  </si>
  <si>
    <t>食材輸出</t>
    <rPh sb="0" eb="4">
      <t>ショクザイユシュツ</t>
    </rPh>
    <phoneticPr fontId="2"/>
  </si>
  <si>
    <t>HDO-053</t>
  </si>
  <si>
    <t>HDO-054</t>
  </si>
  <si>
    <t>HDO-055</t>
  </si>
  <si>
    <t>Oct.08.2025</t>
    <phoneticPr fontId="2"/>
  </si>
  <si>
    <t>Oct.14.2025</t>
    <phoneticPr fontId="2"/>
  </si>
  <si>
    <t>備品輸出</t>
    <rPh sb="0" eb="2">
      <t>ビヒン</t>
    </rPh>
    <rPh sb="2" eb="4">
      <t>ユシュツ</t>
    </rPh>
    <phoneticPr fontId="2"/>
  </si>
  <si>
    <t>CHDR-175</t>
  </si>
  <si>
    <t>CHDR-176</t>
  </si>
  <si>
    <t>送金合計JPY379,100/CHDR-144,HDO-046,HDO-048</t>
  </si>
  <si>
    <t>Status</t>
    <phoneticPr fontId="2"/>
  </si>
  <si>
    <t>Paid</t>
    <phoneticPr fontId="2"/>
  </si>
  <si>
    <t>CHDR-174</t>
    <phoneticPr fontId="2"/>
  </si>
  <si>
    <t>HD⇒HD Royalty (5%) 　　　　初年度5%、2年目から3%Minimum \150,000</t>
    <rPh sb="23" eb="26">
      <t>ショネンド</t>
    </rPh>
    <rPh sb="30" eb="32">
      <t>ネンメ</t>
    </rPh>
    <phoneticPr fontId="2"/>
  </si>
  <si>
    <t>Oct.24.2025</t>
    <phoneticPr fontId="2"/>
  </si>
  <si>
    <t>CHDR-177</t>
    <phoneticPr fontId="2"/>
  </si>
  <si>
    <t>CHDR-178</t>
  </si>
  <si>
    <t>CHDR-179</t>
  </si>
  <si>
    <t>CHDR-180</t>
  </si>
  <si>
    <t>CHDR-181</t>
  </si>
  <si>
    <t>CHDR-183</t>
  </si>
  <si>
    <t>CHDR-184</t>
  </si>
  <si>
    <t>CHDR-185</t>
  </si>
  <si>
    <t>KR / 大田</t>
  </si>
  <si>
    <t xml:space="preserve">KR / アックジョン </t>
    <phoneticPr fontId="2"/>
  </si>
  <si>
    <t>Nov.10.2025</t>
  </si>
  <si>
    <t>Nov.10.2025</t>
    <phoneticPr fontId="2"/>
  </si>
  <si>
    <t>KR / 大田</t>
    <phoneticPr fontId="2"/>
  </si>
  <si>
    <t>Notes</t>
    <phoneticPr fontId="2"/>
  </si>
  <si>
    <t>重複入金11月相殺？</t>
    <rPh sb="0" eb="2">
      <t>ジュウフク</t>
    </rPh>
    <rPh sb="2" eb="4">
      <t>ニュウキン</t>
    </rPh>
    <rPh sb="6" eb="7">
      <t>ガツ</t>
    </rPh>
    <rPh sb="7" eb="9">
      <t>ソウサイ</t>
    </rPh>
    <phoneticPr fontId="2"/>
  </si>
  <si>
    <t>HDO-056</t>
  </si>
  <si>
    <t>HDO-057</t>
  </si>
  <si>
    <t>Dec.04.2025</t>
    <phoneticPr fontId="2"/>
  </si>
  <si>
    <t>CHDR-186</t>
  </si>
  <si>
    <t>CHDR-187</t>
  </si>
  <si>
    <t>CHDR-188</t>
  </si>
  <si>
    <t>CHDR-189</t>
  </si>
  <si>
    <t>CHDR-190</t>
  </si>
  <si>
    <t>CHDR-191</t>
  </si>
  <si>
    <t>CHDR-192</t>
  </si>
  <si>
    <t>CHDR-193</t>
  </si>
  <si>
    <t>CHDR-194</t>
  </si>
  <si>
    <t>Dec.4.2025</t>
    <phoneticPr fontId="2"/>
  </si>
  <si>
    <t>Dec.３.2025</t>
    <phoneticPr fontId="2"/>
  </si>
  <si>
    <t>Dec.09.2025</t>
    <phoneticPr fontId="2"/>
  </si>
  <si>
    <t>CHDR-182</t>
    <phoneticPr fontId="2"/>
  </si>
  <si>
    <t>Nov.29.2025</t>
    <phoneticPr fontId="2"/>
  </si>
  <si>
    <t>韓国           JPY</t>
    <rPh sb="0" eb="2">
      <t>カンコク</t>
    </rPh>
    <phoneticPr fontId="2"/>
  </si>
  <si>
    <t>CHDR-195</t>
  </si>
  <si>
    <t>CHDR-196</t>
  </si>
  <si>
    <t>CHDR-197</t>
  </si>
  <si>
    <t>CHDR-198</t>
  </si>
  <si>
    <t>CHDR-199</t>
  </si>
  <si>
    <t>CHDR-200</t>
  </si>
  <si>
    <t>CHDR-201</t>
  </si>
  <si>
    <t>CHDR-202</t>
  </si>
  <si>
    <t>CHDR-203</t>
  </si>
  <si>
    <t>千房高雄漢神　　　　　     　アリーナ店                 3%→0.5%　</t>
    <phoneticPr fontId="2"/>
  </si>
  <si>
    <t>Goraewa co. 　  　龍山三角地店　　  3店舗目</t>
    <rPh sb="27" eb="29">
      <t>テンポ</t>
    </rPh>
    <rPh sb="29" eb="30">
      <t>メ</t>
    </rPh>
    <phoneticPr fontId="2"/>
  </si>
  <si>
    <t>Goraewa co. 　  　江南　宣陵店   　　  2店舗目</t>
    <rPh sb="30" eb="32">
      <t>テンポ</t>
    </rPh>
    <rPh sb="32" eb="33">
      <t>メ</t>
    </rPh>
    <phoneticPr fontId="2"/>
  </si>
  <si>
    <t>大田 meet up</t>
  </si>
  <si>
    <t>KR3 龍山三角地</t>
  </si>
  <si>
    <t>KR Goraewa 大田</t>
  </si>
  <si>
    <t>KR2 宣陵店</t>
  </si>
  <si>
    <t>KR1 Gangnam Sinsa</t>
  </si>
  <si>
    <r>
      <t xml:space="preserve">アックジョン </t>
    </r>
    <r>
      <rPr>
        <sz val="11"/>
        <color theme="1"/>
        <rFont val="Microsoft YaHei"/>
        <family val="2"/>
        <charset val="134"/>
      </rPr>
      <t>meet up</t>
    </r>
    <phoneticPr fontId="2"/>
  </si>
  <si>
    <t>大田 meet up</t>
    <rPh sb="0" eb="2">
      <t>オオ</t>
    </rPh>
    <phoneticPr fontId="2"/>
  </si>
  <si>
    <t>HDO-058</t>
  </si>
  <si>
    <t>仁川 Travel Expence</t>
    <rPh sb="0" eb="2">
      <t>イン</t>
    </rPh>
    <phoneticPr fontId="2"/>
  </si>
  <si>
    <t>Paid</t>
    <phoneticPr fontId="2"/>
  </si>
  <si>
    <t>R-174 の￥162,422全額相殺</t>
  </si>
  <si>
    <t>KR / アックジョン/CHDR-184（¥45,731）11月27日終了</t>
    <phoneticPr fontId="2"/>
  </si>
  <si>
    <t>HD⇒HD Royalty (3%) 　　　Minimum \150,000</t>
    <phoneticPr fontId="2"/>
  </si>
  <si>
    <t>CHDR-204</t>
  </si>
  <si>
    <t>CHDR-205</t>
  </si>
  <si>
    <t>CHDR-206</t>
  </si>
  <si>
    <t>CHDR-207</t>
  </si>
  <si>
    <t>CHDR-208</t>
  </si>
  <si>
    <t>CHDR-209</t>
  </si>
  <si>
    <t>CHDR-210</t>
  </si>
  <si>
    <t>CHDR-211</t>
  </si>
  <si>
    <t>CHDR-212</t>
  </si>
  <si>
    <t>1BOX12月20日千田硝子返却予測、請求金額修正要検討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</si>
</sst>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6" formatCode="&quot;¥&quot;#,##0;[Red]&quot;¥&quot;\-#,##0"/>
    <numFmt numFmtId="43" formatCode="_ * #,##0.00_ ;_ * \-#,##0.00_ ;_ * &quot;-&quot;??_ ;_ @_ "/>
    <numFmt numFmtId="176" formatCode="0.0%"/>
    <numFmt numFmtId="177" formatCode="m&quot;月&quot;d&quot;日&quot;;@"/>
    <numFmt numFmtId="178" formatCode="0_);[Red]\(0\)"/>
    <numFmt numFmtId="179" formatCode="#,##0.0;[Red]\-#,##0.0"/>
    <numFmt numFmtId="180" formatCode="yyyy\-mm\-dd;@"/>
    <numFmt numFmtId="181" formatCode="\$#,##0.00;[Red]\-\$#,##0.00"/>
    <numFmt numFmtId="182" formatCode="[$¥-411]#,##0;[$¥-411]#,##0"/>
    <numFmt numFmtId="183" formatCode="[$$-409]#,##0;[$$-409]#,##0"/>
    <numFmt numFmtId="184" formatCode="[$$-409]#,##0.00;[$$-409]#,##0.00"/>
    <numFmt numFmtId="185" formatCode="[$¥-411]#,##0_);[Red]\([$¥-411]#,##0\)"/>
    <numFmt numFmtId="186" formatCode="[$$-409]#,##0.00_);[Red]\([$$-409]#,##0.00\)"/>
    <numFmt numFmtId="187" formatCode="[$$-409]#,##0_);[Red]\([$$-409]#,##0\)"/>
    <numFmt numFmtId="188" formatCode="[$¥-411]#,##0;[Red]\-[$¥-411]#,##0"/>
    <numFmt numFmtId="189" formatCode="[$VND]\ #,##0;[Red][$VND]\ \-#,##0"/>
    <numFmt numFmtId="190" formatCode="[$CNY]\ #,##0.00;[Red][$CNY]\ \-#,##0.00"/>
    <numFmt numFmtId="191" formatCode="[$CNY]\ #,##0.00;[$CNY]\ \-#,##0.00"/>
    <numFmt numFmtId="193" formatCode="[$NTD]\ #,##0.00;[Red][$NTD]\ \-#,##0.00"/>
    <numFmt numFmtId="194" formatCode="[$CNY]\ #,##0;[Red][$CNY]\ \-#,##0"/>
    <numFmt numFmtId="195" formatCode="[$CNY]\ #,##0;[Red][$CNY]\ #,##0"/>
    <numFmt numFmtId="196" formatCode="[$PHP]\ #,##0.00;[Red][$PHP]\ \-#,##0.00"/>
    <numFmt numFmtId="197" formatCode="[$VND]\ #,##0.00;[Red][$VND]\ \-#,##0.00"/>
    <numFmt numFmtId="198" formatCode="[$¥-411]#,##0.00;[$¥-411]#,##0.00"/>
    <numFmt numFmtId="199" formatCode="[$-F800]dddd\,\ mmmm\ dd\,\ yyyy"/>
    <numFmt numFmtId="200" formatCode="_ &quot;￥&quot;* #,##0.00_ ;_ &quot;￥&quot;* \-#,##0.00_ ;_ &quot;￥&quot;* &quot;-&quot;??_ ;_ @_ "/>
    <numFmt numFmtId="201" formatCode="&quot;¥&quot;#,##0_);[Red]\(&quot;¥&quot;#,##0\)"/>
    <numFmt numFmtId="202" formatCode="[$$-409]#,##0.00;\-[$$-409]#,##0.00"/>
    <numFmt numFmtId="203" formatCode="[$TWD]\ #,##0.00;[Red][$TWD]\ \-#,##0.00"/>
    <numFmt numFmtId="204" formatCode="[$KRW]\ #,##0.00;[Red][$KRW]\ \-#,##0.00"/>
    <numFmt numFmtId="205" formatCode="[$¥-411]#,##0;\-[$¥-411]#,##0"/>
    <numFmt numFmtId="206" formatCode="[$KRW]\ #,##0;[Red][$KRW]\ \-#,##0"/>
    <numFmt numFmtId="207" formatCode="[$TWD]\ #,##0;[Red][$TWD]\ \-#,##0"/>
    <numFmt numFmtId="208" formatCode="#,##0.00_ ;[Red]\-#,##0.00\ "/>
    <numFmt numFmtId="209" formatCode="[$¥-411]#,##0.00_);[Red]\([$¥-411]#,##0.00\)"/>
    <numFmt numFmtId="210" formatCode="yyyy/m/d;@"/>
    <numFmt numFmtId="211" formatCode="[$PHP]\ #,##0.00_);[Red]\([$PHP]\ #,##0.00\)"/>
  </numFmts>
  <fonts count="41" x14ac:knownFonts="1">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b/>
      <sz val="14"/>
      <color theme="1"/>
      <name val="ＭＳ Ｐゴシック"/>
      <family val="3"/>
      <charset val="128"/>
      <scheme val="minor"/>
    </font>
    <font>
      <sz val="11"/>
      <name val="ＭＳ Ｐゴシック"/>
      <family val="3"/>
      <charset val="128"/>
      <scheme val="minor"/>
    </font>
    <font>
      <sz val="12"/>
      <color theme="1"/>
      <name val="ＭＳ Ｐゴシック"/>
      <family val="3"/>
      <charset val="128"/>
      <scheme val="minor"/>
    </font>
    <font>
      <b/>
      <sz val="16"/>
      <color theme="1"/>
      <name val="ＭＳ Ｐゴシック"/>
      <family val="3"/>
      <charset val="128"/>
      <scheme val="minor"/>
    </font>
    <font>
      <sz val="9"/>
      <name val="ＭＳ Ｐゴシック"/>
      <family val="3"/>
      <charset val="128"/>
    </font>
    <font>
      <sz val="11"/>
      <color theme="1"/>
      <name val="ＭＳ Ｐゴシック"/>
      <family val="3"/>
      <charset val="128"/>
      <scheme val="minor"/>
    </font>
    <font>
      <sz val="11"/>
      <color theme="1"/>
      <name val="ＭＳ Ｐゴシック"/>
      <family val="3"/>
      <charset val="134"/>
      <scheme val="minor"/>
    </font>
    <font>
      <sz val="20"/>
      <color theme="1"/>
      <name val="ＭＳ Ｐゴシック"/>
      <family val="3"/>
      <charset val="128"/>
      <scheme val="minor"/>
    </font>
    <font>
      <b/>
      <sz val="11"/>
      <color theme="1"/>
      <name val="ＭＳ Ｐゴシック"/>
      <family val="3"/>
      <charset val="128"/>
      <scheme val="minor"/>
    </font>
    <font>
      <u/>
      <sz val="11"/>
      <color theme="10"/>
      <name val="ＭＳ Ｐゴシック"/>
      <family val="2"/>
      <charset val="128"/>
      <scheme val="minor"/>
    </font>
    <font>
      <sz val="10"/>
      <color theme="1"/>
      <name val="ＭＳ Ｐゴシック"/>
      <family val="2"/>
      <charset val="128"/>
      <scheme val="minor"/>
    </font>
    <font>
      <sz val="10"/>
      <color theme="1"/>
      <name val="ＭＳ Ｐゴシック"/>
      <family val="3"/>
      <charset val="128"/>
      <scheme val="minor"/>
    </font>
    <font>
      <b/>
      <sz val="10"/>
      <color theme="1"/>
      <name val="ＭＳ Ｐゴシック"/>
      <family val="3"/>
      <charset val="128"/>
      <scheme val="minor"/>
    </font>
    <font>
      <b/>
      <sz val="10"/>
      <name val="ＭＳ Ｐゴシック"/>
      <family val="3"/>
      <charset val="128"/>
      <scheme val="minor"/>
    </font>
    <font>
      <b/>
      <sz val="11"/>
      <name val="ＭＳ Ｐゴシック"/>
      <family val="3"/>
      <charset val="128"/>
      <scheme val="minor"/>
    </font>
    <font>
      <b/>
      <sz val="10"/>
      <color rgb="FFFF0000"/>
      <name val="ＭＳ Ｐゴシック"/>
      <family val="3"/>
      <charset val="128"/>
      <scheme val="minor"/>
    </font>
    <font>
      <b/>
      <sz val="9"/>
      <color indexed="81"/>
      <name val="ＭＳ Ｐゴシック"/>
      <family val="3"/>
      <charset val="128"/>
    </font>
    <font>
      <sz val="9"/>
      <color indexed="81"/>
      <name val="ＭＳ Ｐゴシック"/>
      <family val="3"/>
      <charset val="128"/>
    </font>
    <font>
      <sz val="11"/>
      <name val="ＭＳ Ｐゴシック"/>
      <family val="2"/>
      <charset val="128"/>
      <scheme val="minor"/>
    </font>
    <font>
      <b/>
      <sz val="12"/>
      <color theme="1"/>
      <name val="ＭＳ Ｐゴシック"/>
      <family val="3"/>
      <charset val="128"/>
      <scheme val="minor"/>
    </font>
    <font>
      <b/>
      <sz val="12"/>
      <name val="ＭＳ Ｐゴシック"/>
      <family val="3"/>
      <charset val="128"/>
      <scheme val="minor"/>
    </font>
    <font>
      <sz val="11"/>
      <color theme="1"/>
      <name val="Microsoft YaHei"/>
      <family val="3"/>
      <charset val="134"/>
    </font>
    <font>
      <sz val="11"/>
      <color indexed="8"/>
      <name val="ＭＳ Ｐゴシック"/>
      <family val="3"/>
      <charset val="128"/>
    </font>
    <font>
      <b/>
      <sz val="20"/>
      <color theme="1"/>
      <name val="ＭＳ Ｐゴシック"/>
      <family val="3"/>
      <charset val="128"/>
      <scheme val="minor"/>
    </font>
    <font>
      <sz val="12"/>
      <color theme="1"/>
      <name val="Microsoft YaHei"/>
      <family val="3"/>
      <charset val="134"/>
    </font>
    <font>
      <b/>
      <sz val="10"/>
      <name val="Meiryo UI"/>
      <family val="3"/>
      <charset val="128"/>
    </font>
    <font>
      <sz val="12"/>
      <name val="ＭＳ Ｐゴシック"/>
      <family val="3"/>
      <charset val="128"/>
      <scheme val="minor"/>
    </font>
    <font>
      <sz val="16"/>
      <color theme="1"/>
      <name val="ＭＳ Ｐゴシック"/>
      <family val="3"/>
      <charset val="128"/>
      <scheme val="minor"/>
    </font>
    <font>
      <b/>
      <sz val="11"/>
      <name val="Meiryo UI"/>
      <family val="3"/>
      <charset val="128"/>
    </font>
    <font>
      <b/>
      <sz val="12"/>
      <name val="Meiryo UI"/>
      <family val="3"/>
      <charset val="128"/>
    </font>
    <font>
      <sz val="12"/>
      <color theme="1"/>
      <name val="Meiryo UI"/>
      <family val="3"/>
      <charset val="128"/>
    </font>
    <font>
      <b/>
      <sz val="12"/>
      <color theme="1"/>
      <name val="ＭＳ Ｐゴシック"/>
      <family val="2"/>
      <scheme val="minor"/>
    </font>
    <font>
      <sz val="11"/>
      <color theme="1"/>
      <name val="Microsoft YaHei"/>
      <family val="2"/>
      <charset val="134"/>
    </font>
    <font>
      <sz val="12"/>
      <color theme="1"/>
      <name val="ＭＳ Ｐゴシック"/>
      <family val="2"/>
      <charset val="128"/>
      <scheme val="minor"/>
    </font>
    <font>
      <b/>
      <sz val="12"/>
      <color theme="1"/>
      <name val="ＭＳ Ｐゴシック"/>
      <family val="2"/>
      <charset val="128"/>
      <scheme val="minor"/>
    </font>
    <font>
      <sz val="12"/>
      <color theme="1"/>
      <name val="ＭＳ Ｐゴシック"/>
      <family val="2"/>
      <scheme val="minor"/>
    </font>
    <font>
      <sz val="10"/>
      <color theme="1"/>
      <name val="Arial"/>
      <family val="2"/>
    </font>
    <font>
      <sz val="11"/>
      <color theme="2" tint="-0.249977111117893"/>
      <name val="ＭＳ Ｐゴシック"/>
      <family val="3"/>
      <charset val="128"/>
      <scheme val="minor"/>
    </font>
  </fonts>
  <fills count="15">
    <fill>
      <patternFill patternType="none"/>
    </fill>
    <fill>
      <patternFill patternType="gray125"/>
    </fill>
    <fill>
      <patternFill patternType="solid">
        <fgColor theme="9" tint="0.39997558519241921"/>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2" tint="-0.249977111117893"/>
        <bgColor indexed="64"/>
      </patternFill>
    </fill>
  </fills>
  <borders count="8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right/>
      <top/>
      <bottom style="thin">
        <color indexed="64"/>
      </bottom>
      <diagonal/>
    </border>
    <border>
      <left style="thin">
        <color indexed="64"/>
      </left>
      <right/>
      <top style="thin">
        <color indexed="64"/>
      </top>
      <bottom style="thin">
        <color indexed="64"/>
      </bottom>
      <diagonal/>
    </border>
    <border>
      <left style="hair">
        <color indexed="64"/>
      </left>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hair">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diagonal/>
    </border>
    <border>
      <left style="medium">
        <color indexed="64"/>
      </left>
      <right/>
      <top style="hair">
        <color indexed="64"/>
      </top>
      <bottom style="medium">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medium">
        <color indexed="64"/>
      </bottom>
      <diagonal/>
    </border>
    <border>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right style="medium">
        <color indexed="64"/>
      </right>
      <top style="hair">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diagonal/>
    </border>
    <border>
      <left/>
      <right style="thin">
        <color indexed="64"/>
      </right>
      <top style="hair">
        <color indexed="64"/>
      </top>
      <bottom/>
      <diagonal/>
    </border>
    <border>
      <left style="medium">
        <color indexed="64"/>
      </left>
      <right/>
      <top style="medium">
        <color indexed="64"/>
      </top>
      <bottom/>
      <diagonal/>
    </border>
    <border>
      <left style="thin">
        <color indexed="64"/>
      </left>
      <right style="thin">
        <color indexed="64"/>
      </right>
      <top/>
      <bottom/>
      <diagonal/>
    </border>
    <border>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right/>
      <top style="medium">
        <color indexed="64"/>
      </top>
      <bottom style="medium">
        <color indexed="64"/>
      </bottom>
      <diagonal/>
    </border>
    <border>
      <left style="thin">
        <color indexed="64"/>
      </left>
      <right style="thin">
        <color indexed="64"/>
      </right>
      <top/>
      <bottom style="medium">
        <color indexed="64"/>
      </bottom>
      <diagonal/>
    </border>
    <border>
      <left/>
      <right/>
      <top style="hair">
        <color indexed="64"/>
      </top>
      <bottom style="hair">
        <color indexed="64"/>
      </bottom>
      <diagonal/>
    </border>
    <border>
      <left/>
      <right/>
      <top style="medium">
        <color indexed="64"/>
      </top>
      <bottom style="hair">
        <color indexed="64"/>
      </bottom>
      <diagonal/>
    </border>
    <border>
      <left/>
      <right style="thin">
        <color indexed="64"/>
      </right>
      <top/>
      <bottom/>
      <diagonal/>
    </border>
    <border>
      <left/>
      <right style="thin">
        <color indexed="64"/>
      </right>
      <top style="medium">
        <color indexed="64"/>
      </top>
      <bottom style="medium">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diagonalUp="1">
      <left/>
      <right style="thin">
        <color indexed="64"/>
      </right>
      <top style="medium">
        <color indexed="64"/>
      </top>
      <bottom style="hair">
        <color indexed="64"/>
      </bottom>
      <diagonal style="thin">
        <color indexed="64"/>
      </diagonal>
    </border>
    <border diagonalUp="1">
      <left/>
      <right style="thin">
        <color indexed="64"/>
      </right>
      <top/>
      <bottom style="hair">
        <color indexed="64"/>
      </bottom>
      <diagonal style="thin">
        <color indexed="64"/>
      </diagonal>
    </border>
    <border diagonalUp="1">
      <left/>
      <right style="thin">
        <color indexed="64"/>
      </right>
      <top style="hair">
        <color indexed="64"/>
      </top>
      <bottom style="hair">
        <color indexed="64"/>
      </bottom>
      <diagonal style="thin">
        <color indexed="64"/>
      </diagonal>
    </border>
    <border diagonalUp="1">
      <left/>
      <right style="thin">
        <color indexed="64"/>
      </right>
      <top style="hair">
        <color indexed="64"/>
      </top>
      <bottom style="medium">
        <color indexed="64"/>
      </bottom>
      <diagonal style="thin">
        <color indexed="64"/>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medium">
        <color indexed="64"/>
      </bottom>
      <diagonal/>
    </border>
    <border>
      <left style="thin">
        <color indexed="64"/>
      </left>
      <right style="medium">
        <color indexed="64"/>
      </right>
      <top style="hair">
        <color indexed="64"/>
      </top>
      <bottom style="medium">
        <color indexed="64"/>
      </bottom>
      <diagonal/>
    </border>
  </borders>
  <cellStyleXfs count="24">
    <xf numFmtId="0" fontId="0" fillId="0" borderId="0">
      <alignment vertical="center"/>
    </xf>
    <xf numFmtId="38" fontId="1" fillId="0" borderId="0" applyFont="0" applyFill="0" applyBorder="0" applyAlignment="0" applyProtection="0">
      <alignment vertical="center"/>
    </xf>
    <xf numFmtId="38" fontId="7" fillId="0" borderId="0" applyFont="0" applyFill="0" applyBorder="0" applyAlignment="0" applyProtection="0">
      <alignment vertical="center"/>
    </xf>
    <xf numFmtId="6" fontId="7" fillId="0" borderId="0" applyFont="0" applyFill="0" applyBorder="0" applyAlignment="0" applyProtection="0">
      <alignment vertical="center"/>
    </xf>
    <xf numFmtId="0" fontId="7" fillId="0" borderId="0">
      <alignment vertical="center"/>
    </xf>
    <xf numFmtId="9" fontId="1" fillId="0" borderId="0" applyFont="0" applyFill="0" applyBorder="0" applyAlignment="0" applyProtection="0"/>
    <xf numFmtId="9" fontId="1" fillId="0" borderId="0" applyFont="0" applyFill="0" applyBorder="0" applyAlignment="0" applyProtection="0">
      <alignment vertical="center"/>
    </xf>
    <xf numFmtId="0" fontId="12" fillId="0" borderId="0" applyNumberFormat="0" applyFill="0" applyBorder="0" applyAlignment="0" applyProtection="0">
      <alignment vertical="center"/>
    </xf>
    <xf numFmtId="6" fontId="1" fillId="0" borderId="0" applyFont="0" applyFill="0" applyBorder="0" applyAlignment="0" applyProtection="0">
      <alignment vertical="center"/>
    </xf>
    <xf numFmtId="6" fontId="7" fillId="0" borderId="0" applyFont="0" applyFill="0" applyBorder="0" applyAlignment="0" applyProtection="0">
      <alignment vertical="center"/>
    </xf>
    <xf numFmtId="43" fontId="1" fillId="0" borderId="0" applyFont="0" applyFill="0" applyBorder="0" applyAlignment="0" applyProtection="0"/>
    <xf numFmtId="6" fontId="7" fillId="0" borderId="0" applyFont="0" applyFill="0" applyBorder="0" applyAlignment="0" applyProtection="0">
      <alignment vertical="center"/>
    </xf>
    <xf numFmtId="6" fontId="1" fillId="0" borderId="0" applyFont="0" applyFill="0" applyBorder="0" applyAlignment="0" applyProtection="0">
      <alignment vertical="center"/>
    </xf>
    <xf numFmtId="6" fontId="7" fillId="0" borderId="0" applyFont="0" applyFill="0" applyBorder="0" applyAlignment="0" applyProtection="0">
      <alignment vertical="center"/>
    </xf>
    <xf numFmtId="43" fontId="1" fillId="0" borderId="0" applyFont="0" applyFill="0" applyBorder="0" applyAlignment="0" applyProtection="0"/>
    <xf numFmtId="0" fontId="8" fillId="0" borderId="0">
      <alignment vertical="center"/>
    </xf>
    <xf numFmtId="40" fontId="8" fillId="0" borderId="0" applyFont="0" applyFill="0" applyBorder="0" applyAlignment="0" applyProtection="0">
      <alignment vertical="center"/>
    </xf>
    <xf numFmtId="200" fontId="8" fillId="0" borderId="0" applyFont="0" applyFill="0" applyBorder="0" applyAlignment="0" applyProtection="0">
      <alignment vertical="center"/>
    </xf>
    <xf numFmtId="9" fontId="8" fillId="0" borderId="0" applyFont="0" applyFill="0" applyBorder="0" applyAlignment="0" applyProtection="0">
      <alignment vertical="center"/>
    </xf>
    <xf numFmtId="0" fontId="1" fillId="0" borderId="0">
      <alignment vertical="center"/>
    </xf>
    <xf numFmtId="43" fontId="1" fillId="0" borderId="0" applyFont="0" applyFill="0" applyBorder="0" applyAlignment="0" applyProtection="0"/>
    <xf numFmtId="38" fontId="1" fillId="0" borderId="0" applyFont="0" applyFill="0" applyBorder="0" applyAlignment="0" applyProtection="0">
      <alignment vertical="center"/>
    </xf>
    <xf numFmtId="9" fontId="1" fillId="0" borderId="0" applyFont="0" applyFill="0" applyBorder="0" applyAlignment="0" applyProtection="0"/>
    <xf numFmtId="6" fontId="1" fillId="0" borderId="0" applyFont="0" applyFill="0" applyBorder="0" applyAlignment="0" applyProtection="0">
      <alignment vertical="center"/>
    </xf>
  </cellStyleXfs>
  <cellXfs count="450">
    <xf numFmtId="0" fontId="0" fillId="0" borderId="0" xfId="0">
      <alignment vertical="center"/>
    </xf>
    <xf numFmtId="0" fontId="0" fillId="0" borderId="0" xfId="0" applyAlignment="1">
      <alignment horizontal="center" vertical="center"/>
    </xf>
    <xf numFmtId="38" fontId="0" fillId="0" borderId="0" xfId="1" applyFont="1">
      <alignment vertical="center"/>
    </xf>
    <xf numFmtId="0" fontId="0" fillId="0" borderId="0" xfId="0" applyAlignment="1">
      <alignment horizontal="left" vertical="center"/>
    </xf>
    <xf numFmtId="0" fontId="8" fillId="0" borderId="0" xfId="0" applyFont="1" applyAlignment="1">
      <alignment horizontal="left" vertical="center"/>
    </xf>
    <xf numFmtId="0" fontId="8" fillId="0" borderId="0" xfId="0" applyFont="1" applyAlignment="1">
      <alignment horizontal="left" vertical="center" wrapText="1"/>
    </xf>
    <xf numFmtId="9" fontId="8" fillId="0" borderId="0" xfId="6" applyFont="1" applyAlignment="1">
      <alignment horizontal="center" vertical="center"/>
    </xf>
    <xf numFmtId="9" fontId="0" fillId="0" borderId="0" xfId="6" applyFont="1" applyAlignment="1">
      <alignment horizontal="center" vertical="center"/>
    </xf>
    <xf numFmtId="176" fontId="8" fillId="0" borderId="0" xfId="6" applyNumberFormat="1" applyFont="1" applyAlignment="1">
      <alignment horizontal="center" vertical="center"/>
    </xf>
    <xf numFmtId="10" fontId="0" fillId="0" borderId="0" xfId="6" applyNumberFormat="1" applyFont="1" applyAlignment="1">
      <alignment horizontal="center" vertical="center"/>
    </xf>
    <xf numFmtId="38" fontId="0" fillId="0" borderId="0" xfId="1" applyFont="1" applyAlignment="1">
      <alignment horizontal="center" vertical="center"/>
    </xf>
    <xf numFmtId="177" fontId="0" fillId="0" borderId="0" xfId="1" applyNumberFormat="1" applyFont="1" applyAlignment="1">
      <alignment horizontal="center" vertical="center"/>
    </xf>
    <xf numFmtId="178" fontId="0" fillId="0" borderId="7" xfId="0" applyNumberFormat="1" applyBorder="1" applyAlignment="1">
      <alignment horizontal="center" vertical="center"/>
    </xf>
    <xf numFmtId="178" fontId="0" fillId="0" borderId="8" xfId="0" applyNumberFormat="1" applyBorder="1" applyAlignment="1">
      <alignment horizontal="center" vertical="center"/>
    </xf>
    <xf numFmtId="178" fontId="0" fillId="0" borderId="9" xfId="0" applyNumberFormat="1" applyBorder="1" applyAlignment="1">
      <alignment horizontal="center" vertical="center"/>
    </xf>
    <xf numFmtId="178" fontId="0" fillId="0" borderId="10" xfId="0" applyNumberFormat="1" applyBorder="1" applyAlignment="1">
      <alignment horizontal="center" vertical="center"/>
    </xf>
    <xf numFmtId="177" fontId="0" fillId="0" borderId="0" xfId="0" applyNumberFormat="1" applyAlignment="1">
      <alignment horizontal="center" vertical="center"/>
    </xf>
    <xf numFmtId="177" fontId="6" fillId="0" borderId="0" xfId="0" applyNumberFormat="1" applyFont="1" applyAlignment="1">
      <alignment horizontal="left" vertical="center"/>
    </xf>
    <xf numFmtId="0" fontId="11" fillId="0" borderId="0" xfId="0" applyFont="1" applyAlignment="1">
      <alignment horizontal="center" vertical="center"/>
    </xf>
    <xf numFmtId="0" fontId="11" fillId="0" borderId="0" xfId="0" applyFont="1">
      <alignment vertical="center"/>
    </xf>
    <xf numFmtId="0" fontId="11" fillId="0" borderId="0" xfId="0" applyFont="1" applyAlignment="1">
      <alignment horizontal="left" vertical="center"/>
    </xf>
    <xf numFmtId="9" fontId="11" fillId="0" borderId="0" xfId="6" applyFont="1" applyAlignment="1">
      <alignment horizontal="center" vertical="center"/>
    </xf>
    <xf numFmtId="9" fontId="0" fillId="0" borderId="0" xfId="6" applyFont="1">
      <alignment vertical="center"/>
    </xf>
    <xf numFmtId="9" fontId="0" fillId="0" borderId="0" xfId="6" applyFont="1" applyAlignment="1">
      <alignment horizontal="left" vertical="center"/>
    </xf>
    <xf numFmtId="0" fontId="6" fillId="0" borderId="0" xfId="0" applyFont="1" applyAlignment="1">
      <alignment horizontal="left" vertical="center"/>
    </xf>
    <xf numFmtId="0" fontId="12" fillId="0" borderId="0" xfId="7">
      <alignment vertical="center"/>
    </xf>
    <xf numFmtId="0" fontId="3" fillId="0" borderId="11" xfId="0" applyFont="1" applyBorder="1" applyAlignment="1">
      <alignment horizontal="left" vertical="center"/>
    </xf>
    <xf numFmtId="0" fontId="15" fillId="0" borderId="0" xfId="0" applyFont="1" applyAlignment="1">
      <alignment horizontal="center" vertical="center"/>
    </xf>
    <xf numFmtId="0" fontId="14" fillId="0" borderId="0" xfId="0" applyFont="1" applyAlignment="1">
      <alignment horizontal="center" vertical="center"/>
    </xf>
    <xf numFmtId="38" fontId="16" fillId="0" borderId="0" xfId="0" applyNumberFormat="1" applyFont="1">
      <alignment vertical="center"/>
    </xf>
    <xf numFmtId="0" fontId="14" fillId="0" borderId="0" xfId="0" applyFont="1">
      <alignment vertical="center"/>
    </xf>
    <xf numFmtId="0" fontId="14" fillId="7" borderId="1" xfId="0" applyFont="1" applyFill="1" applyBorder="1">
      <alignment vertical="center"/>
    </xf>
    <xf numFmtId="0" fontId="14" fillId="7" borderId="1" xfId="0" applyFont="1" applyFill="1" applyBorder="1" applyAlignment="1">
      <alignment horizontal="left" vertical="center"/>
    </xf>
    <xf numFmtId="38" fontId="14" fillId="7" borderId="1" xfId="1" applyFont="1" applyFill="1" applyBorder="1" applyAlignment="1">
      <alignment horizontal="center" vertical="center"/>
    </xf>
    <xf numFmtId="38" fontId="14" fillId="7" borderId="1" xfId="1" applyFont="1" applyFill="1" applyBorder="1">
      <alignment vertical="center"/>
    </xf>
    <xf numFmtId="0" fontId="14" fillId="7" borderId="1" xfId="0" applyFont="1" applyFill="1" applyBorder="1" applyAlignment="1">
      <alignment horizontal="center" vertical="center"/>
    </xf>
    <xf numFmtId="0" fontId="17" fillId="0" borderId="0" xfId="0" applyFont="1">
      <alignment vertical="center"/>
    </xf>
    <xf numFmtId="0" fontId="5" fillId="0" borderId="0" xfId="0" applyFont="1" applyAlignment="1">
      <alignment horizontal="left" vertical="center"/>
    </xf>
    <xf numFmtId="0" fontId="14" fillId="0" borderId="1" xfId="0" applyFont="1" applyBorder="1">
      <alignment vertical="center"/>
    </xf>
    <xf numFmtId="0" fontId="14" fillId="0" borderId="1" xfId="0" applyFont="1" applyBorder="1" applyAlignment="1">
      <alignment horizontal="left" vertical="center"/>
    </xf>
    <xf numFmtId="38" fontId="14" fillId="0" borderId="1" xfId="1" applyFont="1" applyBorder="1" applyAlignment="1">
      <alignment horizontal="center" vertical="center"/>
    </xf>
    <xf numFmtId="38" fontId="14" fillId="0" borderId="1" xfId="1" applyFont="1" applyBorder="1">
      <alignment vertical="center"/>
    </xf>
    <xf numFmtId="0" fontId="14" fillId="0" borderId="1" xfId="0" applyFont="1" applyBorder="1" applyAlignment="1">
      <alignment horizontal="center" vertical="center"/>
    </xf>
    <xf numFmtId="38" fontId="18" fillId="0" borderId="0" xfId="0" applyNumberFormat="1" applyFont="1">
      <alignment vertical="center"/>
    </xf>
    <xf numFmtId="0" fontId="13" fillId="4" borderId="1" xfId="0" applyFont="1" applyFill="1" applyBorder="1" applyAlignment="1">
      <alignment horizontal="center" vertical="center"/>
    </xf>
    <xf numFmtId="179" fontId="14" fillId="4" borderId="1" xfId="1" applyNumberFormat="1" applyFont="1" applyFill="1" applyBorder="1" applyAlignment="1">
      <alignment horizontal="center" vertical="center"/>
    </xf>
    <xf numFmtId="0" fontId="14" fillId="5" borderId="1" xfId="0" applyFont="1" applyFill="1" applyBorder="1">
      <alignment vertical="center"/>
    </xf>
    <xf numFmtId="0" fontId="14" fillId="5" borderId="1" xfId="0" applyFont="1" applyFill="1" applyBorder="1" applyAlignment="1">
      <alignment horizontal="left" vertical="center"/>
    </xf>
    <xf numFmtId="38" fontId="14" fillId="5" borderId="1" xfId="1" applyFont="1" applyFill="1" applyBorder="1" applyAlignment="1">
      <alignment horizontal="center" vertical="center"/>
    </xf>
    <xf numFmtId="38" fontId="14" fillId="5" borderId="1" xfId="1" applyFont="1" applyFill="1" applyBorder="1">
      <alignment vertical="center"/>
    </xf>
    <xf numFmtId="0" fontId="14" fillId="5" borderId="1" xfId="0" applyFont="1" applyFill="1" applyBorder="1" applyAlignment="1">
      <alignment horizontal="center" vertical="center"/>
    </xf>
    <xf numFmtId="0" fontId="14" fillId="6" borderId="1" xfId="0" applyFont="1" applyFill="1" applyBorder="1">
      <alignment vertical="center"/>
    </xf>
    <xf numFmtId="0" fontId="14" fillId="6" borderId="1" xfId="0" applyFont="1" applyFill="1" applyBorder="1" applyAlignment="1">
      <alignment horizontal="left" vertical="center"/>
    </xf>
    <xf numFmtId="38" fontId="14" fillId="6" borderId="1" xfId="1" applyFont="1" applyFill="1" applyBorder="1" applyAlignment="1">
      <alignment horizontal="center" vertical="center"/>
    </xf>
    <xf numFmtId="38" fontId="14" fillId="6" borderId="1" xfId="1" applyFont="1" applyFill="1" applyBorder="1">
      <alignment vertical="center"/>
    </xf>
    <xf numFmtId="0" fontId="14" fillId="6" borderId="1" xfId="0" applyFont="1" applyFill="1" applyBorder="1" applyAlignment="1">
      <alignment horizontal="center" vertical="center"/>
    </xf>
    <xf numFmtId="0" fontId="14" fillId="8" borderId="1" xfId="0" applyFont="1" applyFill="1" applyBorder="1">
      <alignment vertical="center"/>
    </xf>
    <xf numFmtId="0" fontId="14" fillId="8" borderId="1" xfId="0" applyFont="1" applyFill="1" applyBorder="1" applyAlignment="1">
      <alignment horizontal="left" vertical="center"/>
    </xf>
    <xf numFmtId="38" fontId="14" fillId="8" borderId="1" xfId="1" applyFont="1" applyFill="1" applyBorder="1" applyAlignment="1">
      <alignment horizontal="center" vertical="center"/>
    </xf>
    <xf numFmtId="38" fontId="14" fillId="8" borderId="1" xfId="1" applyFont="1" applyFill="1" applyBorder="1" applyAlignment="1">
      <alignment horizontal="right" vertical="center"/>
    </xf>
    <xf numFmtId="0" fontId="14" fillId="8" borderId="1" xfId="0" applyFont="1" applyFill="1" applyBorder="1" applyAlignment="1">
      <alignment horizontal="center" vertical="center"/>
    </xf>
    <xf numFmtId="0" fontId="14" fillId="9" borderId="1" xfId="0" applyFont="1" applyFill="1" applyBorder="1">
      <alignment vertical="center"/>
    </xf>
    <xf numFmtId="0" fontId="14" fillId="9" borderId="1" xfId="0" applyFont="1" applyFill="1" applyBorder="1" applyAlignment="1">
      <alignment horizontal="left" vertical="center"/>
    </xf>
    <xf numFmtId="38" fontId="14" fillId="9" borderId="1" xfId="1" applyFont="1" applyFill="1" applyBorder="1" applyAlignment="1">
      <alignment horizontal="center" vertical="center"/>
    </xf>
    <xf numFmtId="38" fontId="14" fillId="9" borderId="1" xfId="1" applyFont="1" applyFill="1" applyBorder="1">
      <alignment vertical="center"/>
    </xf>
    <xf numFmtId="0" fontId="14" fillId="9" borderId="1" xfId="0" applyFont="1" applyFill="1" applyBorder="1" applyAlignment="1">
      <alignment horizontal="center" vertical="center"/>
    </xf>
    <xf numFmtId="0" fontId="14" fillId="10" borderId="1" xfId="0" applyFont="1" applyFill="1" applyBorder="1">
      <alignment vertical="center"/>
    </xf>
    <xf numFmtId="0" fontId="14" fillId="10" borderId="1" xfId="0" applyFont="1" applyFill="1" applyBorder="1" applyAlignment="1">
      <alignment horizontal="left" vertical="center"/>
    </xf>
    <xf numFmtId="38" fontId="14" fillId="10" borderId="1" xfId="1" applyFont="1" applyFill="1" applyBorder="1" applyAlignment="1">
      <alignment horizontal="center" vertical="center"/>
    </xf>
    <xf numFmtId="0" fontId="14" fillId="10" borderId="1" xfId="0" applyFont="1" applyFill="1" applyBorder="1"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13" fillId="4" borderId="12" xfId="0" applyFont="1" applyFill="1" applyBorder="1" applyAlignment="1">
      <alignment horizontal="center" vertical="center"/>
    </xf>
    <xf numFmtId="38" fontId="14" fillId="5" borderId="12" xfId="1" applyFont="1" applyFill="1" applyBorder="1">
      <alignment vertical="center"/>
    </xf>
    <xf numFmtId="38" fontId="14" fillId="6" borderId="12" xfId="1" applyFont="1" applyFill="1" applyBorder="1">
      <alignment vertical="center"/>
    </xf>
    <xf numFmtId="38" fontId="14" fillId="7" borderId="12" xfId="1" applyFont="1" applyFill="1" applyBorder="1">
      <alignment vertical="center"/>
    </xf>
    <xf numFmtId="38" fontId="14" fillId="8" borderId="12" xfId="1" applyFont="1" applyFill="1" applyBorder="1" applyAlignment="1">
      <alignment horizontal="right" vertical="center"/>
    </xf>
    <xf numFmtId="38" fontId="14" fillId="9" borderId="12" xfId="1" applyFont="1" applyFill="1" applyBorder="1">
      <alignment vertical="center"/>
    </xf>
    <xf numFmtId="38" fontId="14" fillId="0" borderId="12" xfId="1" applyFont="1" applyBorder="1">
      <alignment vertical="center"/>
    </xf>
    <xf numFmtId="0" fontId="0" fillId="0" borderId="12" xfId="0" applyBorder="1">
      <alignment vertical="center"/>
    </xf>
    <xf numFmtId="38" fontId="14" fillId="4" borderId="2" xfId="1" applyFont="1" applyFill="1" applyBorder="1" applyAlignment="1">
      <alignment horizontal="center" vertical="center"/>
    </xf>
    <xf numFmtId="38" fontId="15" fillId="5" borderId="2" xfId="1" applyFont="1" applyFill="1" applyBorder="1">
      <alignment vertical="center"/>
    </xf>
    <xf numFmtId="38" fontId="15" fillId="6" borderId="2" xfId="1" applyFont="1" applyFill="1" applyBorder="1">
      <alignment vertical="center"/>
    </xf>
    <xf numFmtId="38" fontId="15" fillId="7" borderId="2" xfId="1" applyFont="1" applyFill="1" applyBorder="1">
      <alignment vertical="center"/>
    </xf>
    <xf numFmtId="38" fontId="15" fillId="8" borderId="2" xfId="1" applyFont="1" applyFill="1" applyBorder="1" applyAlignment="1">
      <alignment horizontal="right" vertical="center"/>
    </xf>
    <xf numFmtId="38" fontId="15" fillId="9" borderId="2" xfId="1" applyFont="1" applyFill="1" applyBorder="1">
      <alignment vertical="center"/>
    </xf>
    <xf numFmtId="38" fontId="15" fillId="0" borderId="2" xfId="1" applyFont="1" applyBorder="1">
      <alignment vertical="center"/>
    </xf>
    <xf numFmtId="38" fontId="0" fillId="0" borderId="2" xfId="1" applyFont="1" applyBorder="1">
      <alignment vertical="center"/>
    </xf>
    <xf numFmtId="38" fontId="14" fillId="4" borderId="4" xfId="1" applyFont="1" applyFill="1" applyBorder="1" applyAlignment="1">
      <alignment horizontal="center" vertical="center"/>
    </xf>
    <xf numFmtId="38" fontId="15" fillId="5" borderId="5" xfId="1" applyFont="1" applyFill="1" applyBorder="1">
      <alignment vertical="center"/>
    </xf>
    <xf numFmtId="38" fontId="15" fillId="6" borderId="5" xfId="1" applyFont="1" applyFill="1" applyBorder="1">
      <alignment vertical="center"/>
    </xf>
    <xf numFmtId="38" fontId="15" fillId="7" borderId="5" xfId="1" applyFont="1" applyFill="1" applyBorder="1">
      <alignment vertical="center"/>
    </xf>
    <xf numFmtId="38" fontId="15" fillId="8" borderId="5" xfId="1" applyFont="1" applyFill="1" applyBorder="1" applyAlignment="1">
      <alignment horizontal="right" vertical="center"/>
    </xf>
    <xf numFmtId="38" fontId="15" fillId="9" borderId="5" xfId="1" applyFont="1" applyFill="1" applyBorder="1">
      <alignment vertical="center"/>
    </xf>
    <xf numFmtId="38" fontId="15" fillId="0" borderId="5" xfId="1" applyFont="1" applyBorder="1">
      <alignment vertical="center"/>
    </xf>
    <xf numFmtId="38" fontId="11" fillId="0" borderId="5" xfId="1" applyFont="1" applyBorder="1">
      <alignment vertical="center"/>
    </xf>
    <xf numFmtId="38" fontId="0" fillId="0" borderId="3" xfId="1" applyFont="1" applyBorder="1">
      <alignment vertical="center"/>
    </xf>
    <xf numFmtId="38" fontId="15" fillId="0" borderId="6" xfId="1" applyFont="1" applyBorder="1">
      <alignment vertical="center"/>
    </xf>
    <xf numFmtId="177" fontId="8" fillId="0" borderId="0" xfId="0" applyNumberFormat="1" applyFont="1" applyAlignment="1">
      <alignment horizontal="left" vertical="center"/>
    </xf>
    <xf numFmtId="178" fontId="0" fillId="0" borderId="13" xfId="0" applyNumberFormat="1" applyBorder="1" applyAlignment="1">
      <alignment horizontal="center" vertical="center"/>
    </xf>
    <xf numFmtId="177" fontId="0" fillId="0" borderId="8" xfId="1" applyNumberFormat="1" applyFont="1" applyBorder="1" applyAlignment="1">
      <alignment horizontal="center" vertical="center"/>
    </xf>
    <xf numFmtId="0" fontId="8" fillId="4" borderId="0" xfId="0" applyFont="1" applyFill="1" applyAlignment="1">
      <alignment horizontal="left" vertical="center" wrapText="1"/>
    </xf>
    <xf numFmtId="9" fontId="8" fillId="4" borderId="0" xfId="6" applyFont="1" applyFill="1" applyAlignment="1">
      <alignment horizontal="center" vertical="center"/>
    </xf>
    <xf numFmtId="0" fontId="0" fillId="4" borderId="0" xfId="0" applyFill="1" applyAlignment="1">
      <alignment horizontal="center" vertical="center"/>
    </xf>
    <xf numFmtId="9" fontId="0" fillId="4" borderId="0" xfId="6" applyFont="1" applyFill="1" applyAlignment="1">
      <alignment horizontal="center" vertical="center"/>
    </xf>
    <xf numFmtId="176" fontId="0" fillId="0" borderId="0" xfId="6" applyNumberFormat="1" applyFont="1" applyAlignment="1">
      <alignment horizontal="center" vertical="center"/>
    </xf>
    <xf numFmtId="6" fontId="8" fillId="0" borderId="25" xfId="1" applyNumberFormat="1" applyFont="1" applyFill="1" applyBorder="1">
      <alignment vertical="center"/>
    </xf>
    <xf numFmtId="182" fontId="8" fillId="0" borderId="25" xfId="1" applyNumberFormat="1" applyFont="1" applyFill="1" applyBorder="1">
      <alignment vertical="center"/>
    </xf>
    <xf numFmtId="38" fontId="8" fillId="0" borderId="31" xfId="1" applyFont="1" applyFill="1" applyBorder="1" applyAlignment="1">
      <alignment horizontal="right" vertical="center" wrapText="1"/>
    </xf>
    <xf numFmtId="184" fontId="8" fillId="0" borderId="33" xfId="1" applyNumberFormat="1" applyFont="1" applyFill="1" applyBorder="1">
      <alignment vertical="center"/>
    </xf>
    <xf numFmtId="6" fontId="8" fillId="0" borderId="33" xfId="1" applyNumberFormat="1" applyFont="1" applyFill="1" applyBorder="1">
      <alignment vertical="center"/>
    </xf>
    <xf numFmtId="182" fontId="8" fillId="0" borderId="34" xfId="1" applyNumberFormat="1" applyFont="1" applyFill="1" applyBorder="1">
      <alignment vertical="center"/>
    </xf>
    <xf numFmtId="182" fontId="8" fillId="0" borderId="33" xfId="1" applyNumberFormat="1" applyFont="1" applyFill="1" applyBorder="1">
      <alignment vertical="center"/>
    </xf>
    <xf numFmtId="38" fontId="8" fillId="0" borderId="32" xfId="1" applyFont="1" applyFill="1" applyBorder="1" applyAlignment="1">
      <alignment horizontal="right" vertical="center" wrapText="1"/>
    </xf>
    <xf numFmtId="38" fontId="8" fillId="0" borderId="32" xfId="1" applyFont="1" applyFill="1" applyBorder="1" applyAlignment="1">
      <alignment vertical="center" wrapText="1"/>
    </xf>
    <xf numFmtId="38" fontId="4" fillId="0" borderId="32" xfId="1" applyFont="1" applyFill="1" applyBorder="1" applyAlignment="1">
      <alignment horizontal="right" vertical="center" wrapText="1"/>
    </xf>
    <xf numFmtId="189" fontId="8" fillId="0" borderId="32" xfId="1" applyNumberFormat="1" applyFont="1" applyFill="1" applyBorder="1">
      <alignment vertical="center"/>
    </xf>
    <xf numFmtId="189" fontId="8" fillId="0" borderId="33" xfId="1" applyNumberFormat="1" applyFont="1" applyFill="1" applyBorder="1">
      <alignment vertical="center"/>
    </xf>
    <xf numFmtId="189" fontId="4" fillId="0" borderId="32" xfId="1" applyNumberFormat="1" applyFont="1" applyFill="1" applyBorder="1">
      <alignment vertical="center"/>
    </xf>
    <xf numFmtId="38" fontId="8" fillId="0" borderId="31" xfId="1" applyFont="1" applyFill="1" applyBorder="1">
      <alignment vertical="center"/>
    </xf>
    <xf numFmtId="190" fontId="8" fillId="0" borderId="32" xfId="1" applyNumberFormat="1" applyFont="1" applyFill="1" applyBorder="1">
      <alignment vertical="center"/>
    </xf>
    <xf numFmtId="194" fontId="8" fillId="0" borderId="33" xfId="1" applyNumberFormat="1" applyFont="1" applyFill="1" applyBorder="1">
      <alignment vertical="center"/>
    </xf>
    <xf numFmtId="195" fontId="8" fillId="0" borderId="32" xfId="1" applyNumberFormat="1" applyFont="1" applyFill="1" applyBorder="1">
      <alignment vertical="center"/>
    </xf>
    <xf numFmtId="191" fontId="8" fillId="0" borderId="32" xfId="6" applyNumberFormat="1" applyFont="1" applyFill="1" applyBorder="1">
      <alignment vertical="center"/>
    </xf>
    <xf numFmtId="177" fontId="0" fillId="2" borderId="36" xfId="0" applyNumberFormat="1" applyFill="1" applyBorder="1" applyAlignment="1">
      <alignment horizontal="center" vertical="center"/>
    </xf>
    <xf numFmtId="178" fontId="0" fillId="2" borderId="37" xfId="0" applyNumberFormat="1" applyFill="1" applyBorder="1" applyAlignment="1">
      <alignment horizontal="center" vertical="center"/>
    </xf>
    <xf numFmtId="38" fontId="0" fillId="2" borderId="37" xfId="1" applyFont="1" applyFill="1" applyBorder="1" applyAlignment="1">
      <alignment horizontal="center" vertical="center"/>
    </xf>
    <xf numFmtId="180" fontId="0" fillId="0" borderId="39" xfId="0" applyNumberFormat="1" applyBorder="1" applyAlignment="1">
      <alignment horizontal="center" vertical="center"/>
    </xf>
    <xf numFmtId="180" fontId="0" fillId="0" borderId="40" xfId="0" applyNumberFormat="1" applyBorder="1" applyAlignment="1">
      <alignment horizontal="center" vertical="center"/>
    </xf>
    <xf numFmtId="180" fontId="0" fillId="0" borderId="41" xfId="0" applyNumberFormat="1" applyBorder="1" applyAlignment="1">
      <alignment horizontal="center" vertical="center"/>
    </xf>
    <xf numFmtId="178" fontId="0" fillId="0" borderId="42" xfId="0" applyNumberFormat="1" applyBorder="1" applyAlignment="1">
      <alignment horizontal="center" vertical="center"/>
    </xf>
    <xf numFmtId="178" fontId="0" fillId="0" borderId="43" xfId="0" applyNumberFormat="1" applyBorder="1" applyAlignment="1">
      <alignment horizontal="center" vertical="center"/>
    </xf>
    <xf numFmtId="178" fontId="0" fillId="0" borderId="44" xfId="0" applyNumberFormat="1" applyBorder="1" applyAlignment="1">
      <alignment horizontal="center" vertical="center"/>
    </xf>
    <xf numFmtId="177" fontId="0" fillId="2" borderId="38" xfId="1" applyNumberFormat="1" applyFont="1" applyFill="1" applyBorder="1" applyAlignment="1">
      <alignment horizontal="center" vertical="center"/>
    </xf>
    <xf numFmtId="177" fontId="0" fillId="0" borderId="25" xfId="1" applyNumberFormat="1" applyFont="1" applyFill="1" applyBorder="1" applyAlignment="1">
      <alignment horizontal="center" vertical="center"/>
    </xf>
    <xf numFmtId="178" fontId="0" fillId="0" borderId="45" xfId="0" applyNumberFormat="1" applyBorder="1" applyAlignment="1">
      <alignment horizontal="center" vertical="center"/>
    </xf>
    <xf numFmtId="177" fontId="0" fillId="0" borderId="26" xfId="1" applyNumberFormat="1" applyFont="1" applyFill="1" applyBorder="1" applyAlignment="1">
      <alignment horizontal="center" vertical="center"/>
    </xf>
    <xf numFmtId="182" fontId="0" fillId="0" borderId="14" xfId="0" applyNumberFormat="1" applyBorder="1" applyAlignment="1">
      <alignment horizontal="center" vertical="center"/>
    </xf>
    <xf numFmtId="0" fontId="6" fillId="0" borderId="0" xfId="0" applyFont="1">
      <alignment vertical="center"/>
    </xf>
    <xf numFmtId="193" fontId="4" fillId="0" borderId="24" xfId="1" applyNumberFormat="1" applyFont="1" applyFill="1" applyBorder="1">
      <alignment vertical="center"/>
    </xf>
    <xf numFmtId="184" fontId="8" fillId="0" borderId="25" xfId="1" applyNumberFormat="1" applyFont="1" applyFill="1" applyBorder="1">
      <alignment vertical="center"/>
    </xf>
    <xf numFmtId="0" fontId="3" fillId="0" borderId="0" xfId="0" applyFont="1">
      <alignment vertical="center"/>
    </xf>
    <xf numFmtId="0" fontId="21" fillId="0" borderId="0" xfId="0" applyFont="1">
      <alignment vertical="center"/>
    </xf>
    <xf numFmtId="0" fontId="22" fillId="0" borderId="15"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17" xfId="0" applyFont="1" applyBorder="1" applyAlignment="1">
      <alignment horizontal="center" vertical="center" wrapText="1"/>
    </xf>
    <xf numFmtId="0" fontId="23" fillId="0" borderId="17" xfId="0" applyFont="1" applyBorder="1" applyAlignment="1">
      <alignment horizontal="center" vertical="center" wrapText="1"/>
    </xf>
    <xf numFmtId="0" fontId="22" fillId="0" borderId="23" xfId="0" applyFont="1" applyBorder="1" applyAlignment="1">
      <alignment horizontal="center" vertical="center" wrapText="1"/>
    </xf>
    <xf numFmtId="0" fontId="5" fillId="0" borderId="0" xfId="0" applyFont="1" applyAlignment="1">
      <alignment vertical="center" wrapText="1"/>
    </xf>
    <xf numFmtId="0" fontId="8" fillId="0" borderId="18" xfId="0" applyFont="1" applyBorder="1" applyAlignment="1">
      <alignment horizontal="left" vertical="center" wrapText="1"/>
    </xf>
    <xf numFmtId="0" fontId="8" fillId="0" borderId="21" xfId="0" applyFont="1" applyBorder="1" applyAlignment="1">
      <alignment horizontal="left" vertical="center" wrapText="1"/>
    </xf>
    <xf numFmtId="0" fontId="8" fillId="0" borderId="0" xfId="0" applyFont="1">
      <alignment vertical="center"/>
    </xf>
    <xf numFmtId="0" fontId="8" fillId="0" borderId="28" xfId="0" applyFont="1" applyBorder="1" applyAlignment="1">
      <alignment horizontal="left" vertical="center" wrapText="1"/>
    </xf>
    <xf numFmtId="0" fontId="8" fillId="0" borderId="29" xfId="0" applyFont="1" applyBorder="1" applyAlignment="1">
      <alignment horizontal="left" vertical="center" wrapText="1"/>
    </xf>
    <xf numFmtId="38" fontId="25" fillId="0" borderId="22" xfId="1" applyFont="1" applyFill="1" applyBorder="1" applyAlignment="1">
      <alignment horizontal="right" vertical="center"/>
    </xf>
    <xf numFmtId="189" fontId="4" fillId="0" borderId="24" xfId="1" applyNumberFormat="1" applyFont="1" applyFill="1" applyBorder="1">
      <alignment vertical="center"/>
    </xf>
    <xf numFmtId="197" fontId="8" fillId="0" borderId="33" xfId="0" applyNumberFormat="1" applyFont="1" applyBorder="1">
      <alignment vertical="center"/>
    </xf>
    <xf numFmtId="38" fontId="8" fillId="0" borderId="27" xfId="1" applyFont="1" applyFill="1" applyBorder="1">
      <alignment vertical="center"/>
    </xf>
    <xf numFmtId="190" fontId="4" fillId="0" borderId="24" xfId="1" applyNumberFormat="1" applyFont="1" applyFill="1" applyBorder="1">
      <alignment vertical="center"/>
    </xf>
    <xf numFmtId="182" fontId="8" fillId="0" borderId="29" xfId="0" applyNumberFormat="1" applyFont="1" applyBorder="1" applyAlignment="1">
      <alignment horizontal="left" vertical="center" wrapText="1"/>
    </xf>
    <xf numFmtId="196" fontId="8" fillId="0" borderId="31" xfId="1" applyNumberFormat="1" applyFont="1" applyFill="1" applyBorder="1">
      <alignment vertical="center"/>
    </xf>
    <xf numFmtId="38" fontId="8" fillId="0" borderId="31" xfId="1" applyFont="1" applyFill="1" applyBorder="1" applyAlignment="1">
      <alignment horizontal="right" vertical="center"/>
    </xf>
    <xf numFmtId="183" fontId="8" fillId="0" borderId="33" xfId="1" applyNumberFormat="1" applyFont="1" applyFill="1" applyBorder="1">
      <alignment vertical="center"/>
    </xf>
    <xf numFmtId="38" fontId="8" fillId="0" borderId="31" xfId="1" applyFont="1" applyBorder="1">
      <alignment vertical="center"/>
    </xf>
    <xf numFmtId="184" fontId="8" fillId="0" borderId="33" xfId="0" applyNumberFormat="1" applyFont="1" applyBorder="1">
      <alignment vertical="center"/>
    </xf>
    <xf numFmtId="198" fontId="8" fillId="0" borderId="33" xfId="0" applyNumberFormat="1" applyFont="1" applyBorder="1">
      <alignment vertical="center"/>
    </xf>
    <xf numFmtId="177" fontId="11" fillId="0" borderId="0" xfId="0" applyNumberFormat="1" applyFont="1" applyAlignment="1">
      <alignment horizontal="left" vertical="center"/>
    </xf>
    <xf numFmtId="178" fontId="0" fillId="0" borderId="1" xfId="0" applyNumberFormat="1" applyBorder="1" applyAlignment="1">
      <alignment horizontal="center" vertical="center"/>
    </xf>
    <xf numFmtId="177" fontId="0" fillId="0" borderId="1" xfId="1" applyNumberFormat="1" applyFont="1" applyFill="1" applyBorder="1" applyAlignment="1">
      <alignment horizontal="center" vertical="center"/>
    </xf>
    <xf numFmtId="184" fontId="0" fillId="0" borderId="1" xfId="1" applyNumberFormat="1" applyFont="1" applyFill="1" applyBorder="1" applyAlignment="1">
      <alignment horizontal="center" vertical="center"/>
    </xf>
    <xf numFmtId="182" fontId="0" fillId="0" borderId="1" xfId="1" applyNumberFormat="1" applyFont="1" applyFill="1" applyBorder="1" applyAlignment="1">
      <alignment horizontal="center" vertical="center"/>
    </xf>
    <xf numFmtId="186" fontId="0" fillId="0" borderId="1" xfId="1" applyNumberFormat="1" applyFont="1" applyFill="1" applyBorder="1" applyAlignment="1">
      <alignment horizontal="center" vertical="center"/>
    </xf>
    <xf numFmtId="187" fontId="0" fillId="0" borderId="1" xfId="8" applyNumberFormat="1" applyFont="1" applyFill="1" applyBorder="1" applyAlignment="1">
      <alignment horizontal="center" vertical="center"/>
    </xf>
    <xf numFmtId="186" fontId="0" fillId="0" borderId="1" xfId="8" applyNumberFormat="1" applyFont="1" applyFill="1" applyBorder="1" applyAlignment="1">
      <alignment horizontal="center" vertical="center"/>
    </xf>
    <xf numFmtId="185" fontId="0" fillId="0" borderId="1" xfId="1" applyNumberFormat="1" applyFont="1" applyFill="1" applyBorder="1" applyAlignment="1">
      <alignment horizontal="center" vertical="center"/>
    </xf>
    <xf numFmtId="38" fontId="0" fillId="0" borderId="1" xfId="1" applyFont="1" applyFill="1" applyBorder="1" applyAlignment="1">
      <alignment horizontal="center" vertical="center"/>
    </xf>
    <xf numFmtId="38" fontId="8" fillId="0" borderId="24" xfId="1" applyFont="1" applyFill="1" applyBorder="1">
      <alignment vertical="center"/>
    </xf>
    <xf numFmtId="184" fontId="8" fillId="0" borderId="0" xfId="0" applyNumberFormat="1" applyFont="1">
      <alignment vertical="center"/>
    </xf>
    <xf numFmtId="182" fontId="8" fillId="0" borderId="33" xfId="0" applyNumberFormat="1" applyFont="1" applyBorder="1">
      <alignment vertical="center"/>
    </xf>
    <xf numFmtId="189" fontId="8" fillId="0" borderId="33" xfId="1" applyNumberFormat="1" applyFont="1" applyFill="1" applyBorder="1" applyAlignment="1">
      <alignment vertical="center" wrapText="1"/>
    </xf>
    <xf numFmtId="186" fontId="8" fillId="0" borderId="33" xfId="0" applyNumberFormat="1" applyFont="1" applyBorder="1">
      <alignment vertical="center"/>
    </xf>
    <xf numFmtId="185" fontId="8" fillId="0" borderId="33" xfId="0" applyNumberFormat="1" applyFont="1" applyBorder="1">
      <alignment vertical="center"/>
    </xf>
    <xf numFmtId="38" fontId="4" fillId="0" borderId="24" xfId="1" applyFont="1" applyFill="1" applyBorder="1">
      <alignment vertical="center"/>
    </xf>
    <xf numFmtId="185" fontId="4" fillId="0" borderId="24" xfId="1" applyNumberFormat="1" applyFont="1" applyFill="1" applyBorder="1">
      <alignment vertical="center"/>
    </xf>
    <xf numFmtId="185" fontId="8" fillId="0" borderId="46" xfId="1" applyNumberFormat="1" applyFont="1" applyFill="1" applyBorder="1">
      <alignment vertical="center"/>
    </xf>
    <xf numFmtId="0" fontId="26" fillId="0" borderId="52" xfId="0" applyFont="1" applyBorder="1">
      <alignment vertical="center"/>
    </xf>
    <xf numFmtId="0" fontId="26" fillId="0" borderId="50" xfId="0" applyFont="1" applyBorder="1">
      <alignment vertical="center"/>
    </xf>
    <xf numFmtId="186" fontId="8" fillId="0" borderId="54" xfId="1" applyNumberFormat="1" applyFont="1" applyFill="1" applyBorder="1">
      <alignment vertical="center"/>
    </xf>
    <xf numFmtId="0" fontId="0" fillId="0" borderId="47" xfId="0" applyBorder="1">
      <alignment vertical="center"/>
    </xf>
    <xf numFmtId="0" fontId="0" fillId="0" borderId="48" xfId="0" applyBorder="1">
      <alignment vertical="center"/>
    </xf>
    <xf numFmtId="186" fontId="8" fillId="0" borderId="55" xfId="1" applyNumberFormat="1" applyFont="1" applyFill="1" applyBorder="1">
      <alignment vertical="center"/>
    </xf>
    <xf numFmtId="0" fontId="0" fillId="0" borderId="50" xfId="0" applyBorder="1">
      <alignment vertical="center"/>
    </xf>
    <xf numFmtId="0" fontId="0" fillId="0" borderId="16" xfId="0" applyBorder="1">
      <alignment vertical="center"/>
    </xf>
    <xf numFmtId="0" fontId="8" fillId="11" borderId="30" xfId="0" applyFont="1" applyFill="1" applyBorder="1" applyAlignment="1">
      <alignment horizontal="left" vertical="center" wrapText="1"/>
    </xf>
    <xf numFmtId="184" fontId="8" fillId="11" borderId="35" xfId="1" applyNumberFormat="1" applyFont="1" applyFill="1" applyBorder="1">
      <alignment vertical="center"/>
    </xf>
    <xf numFmtId="184" fontId="8" fillId="11" borderId="26" xfId="1" applyNumberFormat="1" applyFont="1" applyFill="1" applyBorder="1">
      <alignment vertical="center"/>
    </xf>
    <xf numFmtId="182" fontId="8" fillId="11" borderId="30" xfId="0" applyNumberFormat="1" applyFont="1" applyFill="1" applyBorder="1" applyAlignment="1">
      <alignment horizontal="left" vertical="center" wrapText="1"/>
    </xf>
    <xf numFmtId="185" fontId="4" fillId="11" borderId="49" xfId="1" applyNumberFormat="1" applyFont="1" applyFill="1" applyBorder="1">
      <alignment vertical="center"/>
    </xf>
    <xf numFmtId="201" fontId="8" fillId="0" borderId="33" xfId="1" applyNumberFormat="1" applyFont="1" applyFill="1" applyBorder="1">
      <alignment vertical="center"/>
    </xf>
    <xf numFmtId="0" fontId="22" fillId="0" borderId="56" xfId="0" applyFont="1" applyBorder="1" applyAlignment="1">
      <alignment horizontal="center" vertical="center" wrapText="1"/>
    </xf>
    <xf numFmtId="0" fontId="22" fillId="0" borderId="61" xfId="0" applyFont="1" applyBorder="1" applyAlignment="1">
      <alignment horizontal="center" vertical="center" wrapText="1"/>
    </xf>
    <xf numFmtId="199" fontId="0" fillId="0" borderId="1" xfId="1" applyNumberFormat="1" applyFont="1" applyFill="1" applyBorder="1" applyAlignment="1">
      <alignment horizontal="center" vertical="center"/>
    </xf>
    <xf numFmtId="0" fontId="3" fillId="0" borderId="0" xfId="0" applyFont="1" applyAlignment="1">
      <alignment horizontal="right" vertical="center"/>
    </xf>
    <xf numFmtId="38" fontId="8" fillId="0" borderId="54" xfId="1" applyFont="1" applyBorder="1" applyAlignment="1">
      <alignment horizontal="right" vertical="center" wrapText="1"/>
    </xf>
    <xf numFmtId="197" fontId="8" fillId="0" borderId="62" xfId="1" applyNumberFormat="1" applyFont="1" applyBorder="1" applyAlignment="1">
      <alignment horizontal="right" vertical="center" wrapText="1"/>
    </xf>
    <xf numFmtId="184" fontId="8" fillId="0" borderId="63" xfId="0" applyNumberFormat="1" applyFont="1" applyBorder="1" applyAlignment="1">
      <alignment horizontal="right" vertical="center" wrapText="1"/>
    </xf>
    <xf numFmtId="198" fontId="8" fillId="0" borderId="63" xfId="0" applyNumberFormat="1" applyFont="1" applyBorder="1" applyAlignment="1">
      <alignment horizontal="right" vertical="center" wrapText="1"/>
    </xf>
    <xf numFmtId="202" fontId="8" fillId="11" borderId="64" xfId="0" applyNumberFormat="1" applyFont="1" applyFill="1" applyBorder="1" applyAlignment="1">
      <alignment horizontal="right" vertical="center" wrapText="1"/>
    </xf>
    <xf numFmtId="190" fontId="8" fillId="0" borderId="62" xfId="1" applyNumberFormat="1" applyFont="1" applyBorder="1" applyAlignment="1">
      <alignment horizontal="right" vertical="center" wrapText="1"/>
    </xf>
    <xf numFmtId="182" fontId="8" fillId="0" borderId="51" xfId="0" applyNumberFormat="1" applyFont="1" applyBorder="1" applyAlignment="1">
      <alignment horizontal="right" vertical="center" wrapText="1"/>
    </xf>
    <xf numFmtId="182" fontId="8" fillId="11" borderId="64" xfId="0" applyNumberFormat="1" applyFont="1" applyFill="1" applyBorder="1" applyAlignment="1">
      <alignment horizontal="right" vertical="center" wrapText="1"/>
    </xf>
    <xf numFmtId="182" fontId="8" fillId="0" borderId="63" xfId="0" applyNumberFormat="1" applyFont="1" applyBorder="1" applyAlignment="1">
      <alignment horizontal="right" vertical="center" wrapText="1"/>
    </xf>
    <xf numFmtId="186" fontId="8" fillId="0" borderId="54" xfId="1" applyNumberFormat="1" applyFont="1" applyFill="1" applyBorder="1" applyAlignment="1">
      <alignment horizontal="right" vertical="center"/>
    </xf>
    <xf numFmtId="0" fontId="0" fillId="0" borderId="0" xfId="0" applyAlignment="1">
      <alignment horizontal="right" vertical="center"/>
    </xf>
    <xf numFmtId="203" fontId="8" fillId="0" borderId="62" xfId="0" applyNumberFormat="1" applyFont="1" applyBorder="1" applyAlignment="1">
      <alignment horizontal="right" vertical="center" wrapText="1"/>
    </xf>
    <xf numFmtId="182" fontId="8" fillId="0" borderId="60" xfId="0" applyNumberFormat="1" applyFont="1" applyBorder="1" applyAlignment="1">
      <alignment horizontal="right" vertical="center" wrapText="1"/>
    </xf>
    <xf numFmtId="182" fontId="8" fillId="0" borderId="33" xfId="1" applyNumberFormat="1" applyFont="1" applyFill="1" applyBorder="1" applyAlignment="1">
      <alignment horizontal="right" vertical="center"/>
    </xf>
    <xf numFmtId="182" fontId="0" fillId="0" borderId="61" xfId="0" applyNumberFormat="1" applyBorder="1" applyAlignment="1">
      <alignment horizontal="right" vertical="center"/>
    </xf>
    <xf numFmtId="184" fontId="8" fillId="0" borderId="54" xfId="1" applyNumberFormat="1" applyFont="1" applyFill="1" applyBorder="1" applyAlignment="1">
      <alignment horizontal="right" vertical="center"/>
    </xf>
    <xf numFmtId="182" fontId="8" fillId="11" borderId="53" xfId="1" applyNumberFormat="1" applyFont="1" applyFill="1" applyBorder="1">
      <alignment vertical="center"/>
    </xf>
    <xf numFmtId="185" fontId="4" fillId="11" borderId="48" xfId="1" applyNumberFormat="1" applyFont="1" applyFill="1" applyBorder="1">
      <alignment vertical="center"/>
    </xf>
    <xf numFmtId="185" fontId="4" fillId="0" borderId="25" xfId="1" applyNumberFormat="1" applyFont="1" applyFill="1" applyBorder="1">
      <alignment vertical="center"/>
    </xf>
    <xf numFmtId="198" fontId="8" fillId="0" borderId="51" xfId="0" applyNumberFormat="1" applyFont="1" applyBorder="1" applyAlignment="1">
      <alignment horizontal="right" vertical="center" wrapText="1"/>
    </xf>
    <xf numFmtId="196" fontId="8" fillId="0" borderId="54" xfId="0" applyNumberFormat="1" applyFont="1" applyBorder="1" applyAlignment="1">
      <alignment horizontal="right" vertical="center" wrapText="1"/>
    </xf>
    <xf numFmtId="205" fontId="8" fillId="0" borderId="51" xfId="0" applyNumberFormat="1" applyFont="1" applyBorder="1" applyAlignment="1">
      <alignment horizontal="right" vertical="center" wrapText="1"/>
    </xf>
    <xf numFmtId="204" fontId="4" fillId="0" borderId="48" xfId="1" applyNumberFormat="1" applyFont="1" applyFill="1" applyBorder="1">
      <alignment vertical="center"/>
    </xf>
    <xf numFmtId="182" fontId="8" fillId="0" borderId="32" xfId="0" applyNumberFormat="1" applyFont="1" applyBorder="1" applyAlignment="1">
      <alignment horizontal="right" vertical="center" wrapText="1"/>
    </xf>
    <xf numFmtId="182" fontId="8" fillId="11" borderId="57" xfId="0" applyNumberFormat="1" applyFont="1" applyFill="1" applyBorder="1" applyAlignment="1">
      <alignment horizontal="right" vertical="center" wrapText="1"/>
    </xf>
    <xf numFmtId="206" fontId="8" fillId="0" borderId="32" xfId="1" applyNumberFormat="1" applyFont="1" applyBorder="1" applyAlignment="1">
      <alignment horizontal="right" vertical="center" wrapText="1"/>
    </xf>
    <xf numFmtId="38" fontId="8" fillId="0" borderId="31" xfId="1" applyFont="1" applyBorder="1" applyAlignment="1">
      <alignment horizontal="right" vertical="center" wrapText="1"/>
    </xf>
    <xf numFmtId="206" fontId="8" fillId="0" borderId="60" xfId="0" applyNumberFormat="1" applyFont="1" applyBorder="1" applyAlignment="1">
      <alignment horizontal="right" vertical="center" wrapText="1"/>
    </xf>
    <xf numFmtId="182" fontId="8" fillId="0" borderId="33" xfId="0" applyNumberFormat="1" applyFont="1" applyBorder="1" applyAlignment="1">
      <alignment horizontal="right" vertical="center" wrapText="1"/>
    </xf>
    <xf numFmtId="38" fontId="8" fillId="0" borderId="59" xfId="1" applyFont="1" applyBorder="1" applyAlignment="1">
      <alignment horizontal="right" vertical="center" wrapText="1"/>
    </xf>
    <xf numFmtId="182" fontId="8" fillId="0" borderId="58" xfId="0" applyNumberFormat="1" applyFont="1" applyBorder="1" applyAlignment="1">
      <alignment horizontal="right" vertical="center" wrapText="1"/>
    </xf>
    <xf numFmtId="198" fontId="8" fillId="0" borderId="58" xfId="0" applyNumberFormat="1" applyFont="1" applyBorder="1" applyAlignment="1">
      <alignment horizontal="right" vertical="center" wrapText="1"/>
    </xf>
    <xf numFmtId="184" fontId="8" fillId="0" borderId="58" xfId="0" applyNumberFormat="1" applyFont="1" applyBorder="1" applyAlignment="1">
      <alignment horizontal="right" vertical="center" wrapText="1"/>
    </xf>
    <xf numFmtId="207" fontId="8" fillId="0" borderId="62" xfId="0" applyNumberFormat="1" applyFont="1" applyBorder="1" applyAlignment="1">
      <alignment horizontal="right" vertical="center" wrapText="1"/>
    </xf>
    <xf numFmtId="189" fontId="8" fillId="0" borderId="33" xfId="0" applyNumberFormat="1" applyFont="1" applyBorder="1">
      <alignment vertical="center"/>
    </xf>
    <xf numFmtId="206" fontId="8" fillId="0" borderId="53" xfId="1" applyNumberFormat="1" applyFont="1" applyFill="1" applyBorder="1">
      <alignment vertical="center"/>
    </xf>
    <xf numFmtId="208" fontId="0" fillId="0" borderId="1" xfId="0" applyNumberFormat="1" applyBorder="1" applyAlignment="1">
      <alignment horizontal="center" vertical="center"/>
    </xf>
    <xf numFmtId="202" fontId="0" fillId="0" borderId="65" xfId="0" applyNumberFormat="1" applyBorder="1" applyAlignment="1">
      <alignment horizontal="left" vertical="center"/>
    </xf>
    <xf numFmtId="0" fontId="0" fillId="0" borderId="66" xfId="0" applyBorder="1">
      <alignment vertical="center"/>
    </xf>
    <xf numFmtId="55" fontId="0" fillId="0" borderId="1" xfId="0" applyNumberFormat="1" applyBorder="1" applyAlignment="1">
      <alignment horizontal="center" vertical="center"/>
    </xf>
    <xf numFmtId="184" fontId="0" fillId="0" borderId="67" xfId="0" applyNumberFormat="1" applyBorder="1" applyAlignment="1">
      <alignment horizontal="left" vertical="center"/>
    </xf>
    <xf numFmtId="0" fontId="0" fillId="0" borderId="68" xfId="0" applyBorder="1">
      <alignment vertical="center"/>
    </xf>
    <xf numFmtId="40" fontId="0" fillId="0" borderId="1" xfId="1" applyNumberFormat="1" applyFont="1" applyBorder="1" applyAlignment="1">
      <alignment horizontal="center" vertical="center"/>
    </xf>
    <xf numFmtId="184" fontId="0" fillId="0" borderId="38" xfId="0" applyNumberFormat="1" applyBorder="1" applyAlignment="1">
      <alignment horizontal="left" vertical="center"/>
    </xf>
    <xf numFmtId="0" fontId="0" fillId="0" borderId="36" xfId="0" applyBorder="1">
      <alignment vertical="center"/>
    </xf>
    <xf numFmtId="0" fontId="0" fillId="11" borderId="1" xfId="0" applyFill="1" applyBorder="1" applyAlignment="1">
      <alignment horizontal="center" vertical="center"/>
    </xf>
    <xf numFmtId="196" fontId="8" fillId="0" borderId="53" xfId="1" applyNumberFormat="1" applyFont="1" applyFill="1" applyBorder="1">
      <alignment vertical="center"/>
    </xf>
    <xf numFmtId="201" fontId="0" fillId="0" borderId="1" xfId="0" applyNumberFormat="1" applyBorder="1" applyAlignment="1">
      <alignment horizontal="center" vertical="center"/>
    </xf>
    <xf numFmtId="184" fontId="0" fillId="0" borderId="1" xfId="0" applyNumberFormat="1" applyBorder="1" applyAlignment="1">
      <alignment horizontal="center" vertical="center"/>
    </xf>
    <xf numFmtId="198" fontId="8" fillId="0" borderId="62" xfId="1" applyNumberFormat="1" applyFont="1" applyBorder="1" applyAlignment="1">
      <alignment horizontal="right" vertical="center" wrapText="1"/>
    </xf>
    <xf numFmtId="184" fontId="8" fillId="11" borderId="64" xfId="0" applyNumberFormat="1" applyFont="1" applyFill="1" applyBorder="1" applyAlignment="1">
      <alignment horizontal="right" vertical="center" wrapText="1"/>
    </xf>
    <xf numFmtId="0" fontId="28" fillId="0" borderId="1" xfId="0" applyFont="1" applyBorder="1" applyAlignment="1">
      <alignment horizontal="center" vertical="center"/>
    </xf>
    <xf numFmtId="0" fontId="28" fillId="12" borderId="1" xfId="0" applyFont="1" applyFill="1" applyBorder="1" applyAlignment="1">
      <alignment horizontal="center" vertical="center"/>
    </xf>
    <xf numFmtId="178" fontId="0" fillId="12" borderId="1" xfId="0" applyNumberFormat="1" applyFill="1" applyBorder="1" applyAlignment="1">
      <alignment horizontal="center" vertical="center"/>
    </xf>
    <xf numFmtId="182" fontId="0" fillId="12" borderId="1" xfId="1" applyNumberFormat="1" applyFont="1" applyFill="1" applyBorder="1" applyAlignment="1">
      <alignment horizontal="center" vertical="center"/>
    </xf>
    <xf numFmtId="199" fontId="0" fillId="12" borderId="1" xfId="1" applyNumberFormat="1" applyFont="1" applyFill="1" applyBorder="1" applyAlignment="1">
      <alignment horizontal="center" vertical="center"/>
    </xf>
    <xf numFmtId="182" fontId="0" fillId="12" borderId="1" xfId="0" applyNumberFormat="1" applyFill="1" applyBorder="1" applyAlignment="1">
      <alignment horizontal="center" vertical="center"/>
    </xf>
    <xf numFmtId="206" fontId="8" fillId="0" borderId="33" xfId="0" applyNumberFormat="1" applyFont="1" applyBorder="1" applyAlignment="1">
      <alignment horizontal="right" vertical="center" wrapText="1"/>
    </xf>
    <xf numFmtId="182" fontId="8" fillId="0" borderId="18" xfId="0" applyNumberFormat="1" applyFont="1" applyBorder="1" applyAlignment="1">
      <alignment horizontal="left" vertical="center" wrapText="1"/>
    </xf>
    <xf numFmtId="201" fontId="0" fillId="12" borderId="1" xfId="1" applyNumberFormat="1" applyFont="1" applyFill="1" applyBorder="1" applyAlignment="1">
      <alignment horizontal="center" vertical="center"/>
    </xf>
    <xf numFmtId="178" fontId="8" fillId="0" borderId="31" xfId="1" applyNumberFormat="1" applyFont="1" applyFill="1" applyBorder="1">
      <alignment vertical="center"/>
    </xf>
    <xf numFmtId="2" fontId="0" fillId="0" borderId="1" xfId="0" applyNumberFormat="1" applyBorder="1" applyAlignment="1">
      <alignment horizontal="center" vertical="center"/>
    </xf>
    <xf numFmtId="180" fontId="8" fillId="0" borderId="1" xfId="0" applyNumberFormat="1" applyFont="1" applyBorder="1" applyAlignment="1">
      <alignment horizontal="center" vertical="center"/>
    </xf>
    <xf numFmtId="0" fontId="5" fillId="0" borderId="0" xfId="0" applyFont="1">
      <alignment vertical="center"/>
    </xf>
    <xf numFmtId="177" fontId="22" fillId="3" borderId="78" xfId="0" applyNumberFormat="1" applyFont="1" applyFill="1" applyBorder="1" applyAlignment="1">
      <alignment horizontal="center" vertical="center"/>
    </xf>
    <xf numFmtId="178" fontId="22" fillId="3" borderId="17" xfId="0" applyNumberFormat="1" applyFont="1" applyFill="1" applyBorder="1" applyAlignment="1">
      <alignment horizontal="center" vertical="center"/>
    </xf>
    <xf numFmtId="38" fontId="22" fillId="3" borderId="79" xfId="1" applyFont="1" applyFill="1" applyBorder="1" applyAlignment="1">
      <alignment horizontal="center" vertical="center"/>
    </xf>
    <xf numFmtId="180" fontId="5" fillId="0" borderId="75" xfId="0" applyNumberFormat="1" applyFont="1" applyBorder="1" applyAlignment="1">
      <alignment horizontal="center" vertical="center"/>
    </xf>
    <xf numFmtId="178" fontId="5" fillId="0" borderId="76" xfId="0" applyNumberFormat="1" applyFont="1" applyBorder="1" applyAlignment="1">
      <alignment horizontal="center" vertical="center"/>
    </xf>
    <xf numFmtId="184" fontId="5" fillId="0" borderId="77" xfId="1" applyNumberFormat="1" applyFont="1" applyFill="1" applyBorder="1" applyAlignment="1">
      <alignment horizontal="center" vertical="center"/>
    </xf>
    <xf numFmtId="180" fontId="5" fillId="0" borderId="68" xfId="0" applyNumberFormat="1" applyFont="1" applyBorder="1" applyAlignment="1">
      <alignment horizontal="center" vertical="center"/>
    </xf>
    <xf numFmtId="178" fontId="5" fillId="0" borderId="1" xfId="0" applyNumberFormat="1" applyFont="1" applyBorder="1" applyAlignment="1">
      <alignment horizontal="center" vertical="center"/>
    </xf>
    <xf numFmtId="184" fontId="5" fillId="0" borderId="67" xfId="1" applyNumberFormat="1" applyFont="1" applyFill="1" applyBorder="1" applyAlignment="1">
      <alignment horizontal="center" vertical="center"/>
    </xf>
    <xf numFmtId="181" fontId="5" fillId="0" borderId="67" xfId="1" applyNumberFormat="1" applyFont="1" applyFill="1" applyBorder="1" applyAlignment="1">
      <alignment horizontal="center" vertical="center"/>
    </xf>
    <xf numFmtId="186" fontId="5" fillId="0" borderId="67" xfId="1" applyNumberFormat="1" applyFont="1" applyFill="1" applyBorder="1" applyAlignment="1">
      <alignment horizontal="center" vertical="center"/>
    </xf>
    <xf numFmtId="180" fontId="5" fillId="0" borderId="1" xfId="0" applyNumberFormat="1" applyFont="1" applyBorder="1" applyAlignment="1">
      <alignment horizontal="center" vertical="center"/>
    </xf>
    <xf numFmtId="180" fontId="5" fillId="0" borderId="73" xfId="0" applyNumberFormat="1" applyFont="1" applyBorder="1" applyAlignment="1">
      <alignment horizontal="center" vertical="center"/>
    </xf>
    <xf numFmtId="180" fontId="5" fillId="0" borderId="22" xfId="0" applyNumberFormat="1" applyFont="1" applyBorder="1" applyAlignment="1">
      <alignment horizontal="center" vertical="center"/>
    </xf>
    <xf numFmtId="178" fontId="5" fillId="0" borderId="22" xfId="0" applyNumberFormat="1" applyFont="1" applyBorder="1" applyAlignment="1">
      <alignment horizontal="center" vertical="center"/>
    </xf>
    <xf numFmtId="184" fontId="29" fillId="0" borderId="48" xfId="1" applyNumberFormat="1" applyFont="1" applyFill="1" applyBorder="1" applyAlignment="1">
      <alignment horizontal="center" vertical="center"/>
    </xf>
    <xf numFmtId="0" fontId="6" fillId="11" borderId="66" xfId="0" applyFont="1" applyFill="1" applyBorder="1" applyAlignment="1">
      <alignment horizontal="center" vertical="center"/>
    </xf>
    <xf numFmtId="0" fontId="30" fillId="11" borderId="74" xfId="0" applyFont="1" applyFill="1" applyBorder="1">
      <alignment vertical="center"/>
    </xf>
    <xf numFmtId="184" fontId="6" fillId="11" borderId="65" xfId="0" applyNumberFormat="1" applyFont="1" applyFill="1" applyBorder="1" applyAlignment="1">
      <alignment horizontal="center" vertical="center"/>
    </xf>
    <xf numFmtId="0" fontId="0" fillId="12" borderId="1" xfId="0" applyFill="1" applyBorder="1" applyAlignment="1">
      <alignment horizontal="center" vertical="center"/>
    </xf>
    <xf numFmtId="181" fontId="0" fillId="12" borderId="1" xfId="1" applyNumberFormat="1" applyFont="1" applyFill="1" applyBorder="1" applyAlignment="1">
      <alignment horizontal="center" vertical="center"/>
    </xf>
    <xf numFmtId="199" fontId="0" fillId="12" borderId="1" xfId="0" applyNumberFormat="1" applyFill="1" applyBorder="1" applyAlignment="1">
      <alignment horizontal="center" vertical="center"/>
    </xf>
    <xf numFmtId="185" fontId="0" fillId="12" borderId="1" xfId="1" applyNumberFormat="1" applyFont="1" applyFill="1" applyBorder="1" applyAlignment="1">
      <alignment horizontal="center" vertical="center"/>
    </xf>
    <xf numFmtId="2" fontId="0" fillId="12" borderId="1" xfId="0" applyNumberFormat="1" applyFill="1" applyBorder="1" applyAlignment="1">
      <alignment horizontal="center" vertical="center"/>
    </xf>
    <xf numFmtId="208" fontId="0" fillId="12" borderId="1" xfId="0" applyNumberFormat="1" applyFill="1" applyBorder="1" applyAlignment="1">
      <alignment horizontal="center" vertical="center"/>
    </xf>
    <xf numFmtId="184" fontId="0" fillId="12" borderId="1" xfId="1" applyNumberFormat="1" applyFont="1" applyFill="1" applyBorder="1" applyAlignment="1">
      <alignment horizontal="center" vertical="center"/>
    </xf>
    <xf numFmtId="186" fontId="0" fillId="12" borderId="1" xfId="0" applyNumberFormat="1" applyFill="1" applyBorder="1" applyAlignment="1">
      <alignment horizontal="center" vertical="center"/>
    </xf>
    <xf numFmtId="209" fontId="0" fillId="12" borderId="1" xfId="0" applyNumberFormat="1" applyFill="1" applyBorder="1" applyAlignment="1">
      <alignment horizontal="center" vertical="center"/>
    </xf>
    <xf numFmtId="201" fontId="0" fillId="12" borderId="1" xfId="0" applyNumberFormat="1" applyFill="1" applyBorder="1" applyAlignment="1">
      <alignment horizontal="center" vertical="center"/>
    </xf>
    <xf numFmtId="186" fontId="0" fillId="12" borderId="1" xfId="1" applyNumberFormat="1" applyFont="1" applyFill="1" applyBorder="1" applyAlignment="1">
      <alignment horizontal="center" vertical="center"/>
    </xf>
    <xf numFmtId="185" fontId="0" fillId="12" borderId="1" xfId="0" applyNumberFormat="1" applyFill="1" applyBorder="1" applyAlignment="1">
      <alignment horizontal="center" vertical="center"/>
    </xf>
    <xf numFmtId="178" fontId="3" fillId="0" borderId="10" xfId="0" applyNumberFormat="1" applyFont="1" applyBorder="1" applyAlignment="1">
      <alignment horizontal="center" vertical="center"/>
    </xf>
    <xf numFmtId="178" fontId="3" fillId="0" borderId="7" xfId="0" applyNumberFormat="1" applyFont="1" applyBorder="1" applyAlignment="1">
      <alignment horizontal="center" vertical="center"/>
    </xf>
    <xf numFmtId="178" fontId="3" fillId="0" borderId="8" xfId="0" applyNumberFormat="1" applyFont="1" applyBorder="1" applyAlignment="1">
      <alignment horizontal="center" vertical="center"/>
    </xf>
    <xf numFmtId="177" fontId="3" fillId="0" borderId="8" xfId="1" applyNumberFormat="1" applyFont="1" applyBorder="1" applyAlignment="1">
      <alignment horizontal="center" vertical="center"/>
    </xf>
    <xf numFmtId="178" fontId="22" fillId="0" borderId="9" xfId="0" applyNumberFormat="1" applyFont="1" applyBorder="1" applyAlignment="1">
      <alignment horizontal="center" vertical="center"/>
    </xf>
    <xf numFmtId="178" fontId="22" fillId="0" borderId="10" xfId="0" applyNumberFormat="1" applyFont="1" applyBorder="1" applyAlignment="1">
      <alignment horizontal="center" vertical="center"/>
    </xf>
    <xf numFmtId="178" fontId="22" fillId="0" borderId="7" xfId="0" applyNumberFormat="1" applyFont="1" applyBorder="1" applyAlignment="1">
      <alignment horizontal="center" vertical="center"/>
    </xf>
    <xf numFmtId="177" fontId="22" fillId="0" borderId="8" xfId="1" applyNumberFormat="1" applyFont="1" applyFill="1" applyBorder="1" applyAlignment="1">
      <alignment horizontal="center" vertical="center"/>
    </xf>
    <xf numFmtId="177" fontId="22" fillId="2" borderId="36" xfId="0" applyNumberFormat="1" applyFont="1" applyFill="1" applyBorder="1" applyAlignment="1">
      <alignment horizontal="center" vertical="center"/>
    </xf>
    <xf numFmtId="178" fontId="22" fillId="2" borderId="37" xfId="0" applyNumberFormat="1" applyFont="1" applyFill="1" applyBorder="1" applyAlignment="1">
      <alignment horizontal="center" vertical="center"/>
    </xf>
    <xf numFmtId="177" fontId="22" fillId="2" borderId="37" xfId="1" applyNumberFormat="1" applyFont="1" applyFill="1" applyBorder="1" applyAlignment="1">
      <alignment horizontal="center" vertical="center"/>
    </xf>
    <xf numFmtId="38" fontId="22" fillId="2" borderId="38" xfId="1" applyFont="1" applyFill="1" applyBorder="1" applyAlignment="1">
      <alignment horizontal="center" vertical="center"/>
    </xf>
    <xf numFmtId="177" fontId="22" fillId="0" borderId="39" xfId="0" applyNumberFormat="1" applyFont="1" applyBorder="1" applyAlignment="1">
      <alignment horizontal="center" vertical="center"/>
    </xf>
    <xf numFmtId="177" fontId="3" fillId="0" borderId="39" xfId="0" applyNumberFormat="1" applyFont="1" applyBorder="1" applyAlignment="1">
      <alignment horizontal="center" vertical="center"/>
    </xf>
    <xf numFmtId="38" fontId="3" fillId="0" borderId="81" xfId="1" applyFont="1" applyBorder="1" applyAlignment="1">
      <alignment horizontal="center" vertical="center"/>
    </xf>
    <xf numFmtId="177" fontId="0" fillId="0" borderId="39" xfId="0" applyNumberFormat="1" applyBorder="1" applyAlignment="1">
      <alignment horizontal="center" vertical="center"/>
    </xf>
    <xf numFmtId="38" fontId="0" fillId="0" borderId="81" xfId="1" applyFont="1" applyBorder="1" applyAlignment="1">
      <alignment horizontal="center" vertical="center"/>
    </xf>
    <xf numFmtId="177" fontId="0" fillId="0" borderId="41" xfId="0" applyNumberFormat="1" applyBorder="1" applyAlignment="1">
      <alignment horizontal="center" vertical="center"/>
    </xf>
    <xf numFmtId="178" fontId="0" fillId="0" borderId="82" xfId="0" applyNumberFormat="1" applyBorder="1" applyAlignment="1">
      <alignment horizontal="center" vertical="center"/>
    </xf>
    <xf numFmtId="177" fontId="0" fillId="0" borderId="82" xfId="1" applyNumberFormat="1" applyFont="1" applyBorder="1" applyAlignment="1">
      <alignment horizontal="center" vertical="center"/>
    </xf>
    <xf numFmtId="38" fontId="0" fillId="0" borderId="83" xfId="1" applyFont="1" applyBorder="1" applyAlignment="1">
      <alignment horizontal="center" vertical="center"/>
    </xf>
    <xf numFmtId="38" fontId="3" fillId="0" borderId="0" xfId="1" applyFont="1" applyAlignment="1">
      <alignment horizontal="center" vertical="center"/>
    </xf>
    <xf numFmtId="177" fontId="22" fillId="12" borderId="39" xfId="0" applyNumberFormat="1" applyFont="1" applyFill="1" applyBorder="1" applyAlignment="1">
      <alignment horizontal="center" vertical="center"/>
    </xf>
    <xf numFmtId="178" fontId="22" fillId="12" borderId="9" xfId="0" applyNumberFormat="1" applyFont="1" applyFill="1" applyBorder="1" applyAlignment="1">
      <alignment horizontal="center" vertical="center"/>
    </xf>
    <xf numFmtId="178" fontId="22" fillId="12" borderId="7" xfId="0" applyNumberFormat="1" applyFont="1" applyFill="1" applyBorder="1" applyAlignment="1">
      <alignment horizontal="center" vertical="center"/>
    </xf>
    <xf numFmtId="178" fontId="22" fillId="12" borderId="10" xfId="0" applyNumberFormat="1" applyFont="1" applyFill="1" applyBorder="1" applyAlignment="1">
      <alignment horizontal="center" vertical="center"/>
    </xf>
    <xf numFmtId="199" fontId="22" fillId="12" borderId="8" xfId="1" applyNumberFormat="1" applyFont="1" applyFill="1" applyBorder="1" applyAlignment="1">
      <alignment horizontal="center" vertical="center"/>
    </xf>
    <xf numFmtId="185" fontId="22" fillId="12" borderId="81" xfId="1" applyNumberFormat="1" applyFont="1" applyFill="1" applyBorder="1" applyAlignment="1">
      <alignment horizontal="center" vertical="center"/>
    </xf>
    <xf numFmtId="185" fontId="22" fillId="0" borderId="81" xfId="1" applyNumberFormat="1" applyFont="1" applyFill="1" applyBorder="1" applyAlignment="1">
      <alignment horizontal="center" vertical="center"/>
    </xf>
    <xf numFmtId="0" fontId="28" fillId="12" borderId="68" xfId="0" applyFont="1" applyFill="1" applyBorder="1" applyAlignment="1">
      <alignment horizontal="center" vertical="center"/>
    </xf>
    <xf numFmtId="0" fontId="28" fillId="0" borderId="68" xfId="0" applyFont="1" applyBorder="1" applyAlignment="1">
      <alignment horizontal="center" vertical="center"/>
    </xf>
    <xf numFmtId="177" fontId="0" fillId="0" borderId="67" xfId="1" applyNumberFormat="1" applyFont="1" applyFill="1" applyBorder="1" applyAlignment="1">
      <alignment horizontal="center" vertical="center"/>
    </xf>
    <xf numFmtId="180" fontId="0" fillId="0" borderId="68" xfId="0" applyNumberFormat="1" applyBorder="1" applyAlignment="1">
      <alignment horizontal="center" vertical="center"/>
    </xf>
    <xf numFmtId="177" fontId="0" fillId="0" borderId="68" xfId="0" applyNumberFormat="1" applyBorder="1" applyAlignment="1">
      <alignment horizontal="center" vertical="center"/>
    </xf>
    <xf numFmtId="177" fontId="0" fillId="12" borderId="1" xfId="1" applyNumberFormat="1" applyFont="1" applyFill="1" applyBorder="1" applyAlignment="1">
      <alignment horizontal="center" vertical="center"/>
    </xf>
    <xf numFmtId="184" fontId="4" fillId="0" borderId="1" xfId="1" applyNumberFormat="1" applyFont="1" applyFill="1" applyBorder="1" applyAlignment="1">
      <alignment horizontal="center" vertical="center"/>
    </xf>
    <xf numFmtId="180" fontId="0" fillId="0" borderId="1" xfId="0" applyNumberFormat="1" applyBorder="1">
      <alignment vertical="center"/>
    </xf>
    <xf numFmtId="38" fontId="0" fillId="0" borderId="1" xfId="1" applyFont="1" applyBorder="1" applyAlignment="1">
      <alignment horizontal="center" vertical="center"/>
    </xf>
    <xf numFmtId="177" fontId="0" fillId="0" borderId="1" xfId="1" applyNumberFormat="1" applyFont="1" applyBorder="1" applyAlignment="1">
      <alignment horizontal="center" vertical="center"/>
    </xf>
    <xf numFmtId="199" fontId="0" fillId="12" borderId="67" xfId="1" applyNumberFormat="1" applyFont="1" applyFill="1" applyBorder="1" applyAlignment="1">
      <alignment horizontal="center" vertical="center"/>
    </xf>
    <xf numFmtId="199" fontId="0" fillId="0" borderId="67" xfId="1" applyNumberFormat="1" applyFont="1" applyFill="1" applyBorder="1" applyAlignment="1">
      <alignment horizontal="center" vertical="center"/>
    </xf>
    <xf numFmtId="199" fontId="0" fillId="12" borderId="67" xfId="0" applyNumberFormat="1" applyFill="1" applyBorder="1" applyAlignment="1">
      <alignment horizontal="center" vertical="center"/>
    </xf>
    <xf numFmtId="177" fontId="0" fillId="0" borderId="67" xfId="1" applyNumberFormat="1" applyFont="1" applyBorder="1" applyAlignment="1">
      <alignment horizontal="center" vertical="center"/>
    </xf>
    <xf numFmtId="177" fontId="0" fillId="0" borderId="66" xfId="0" applyNumberFormat="1" applyBorder="1" applyAlignment="1">
      <alignment horizontal="center" vertical="center"/>
    </xf>
    <xf numFmtId="178" fontId="0" fillId="0" borderId="74" xfId="0" applyNumberFormat="1" applyBorder="1" applyAlignment="1">
      <alignment horizontal="center" vertical="center"/>
    </xf>
    <xf numFmtId="38" fontId="0" fillId="0" borderId="74" xfId="1" applyFont="1" applyBorder="1" applyAlignment="1">
      <alignment horizontal="center" vertical="center"/>
    </xf>
    <xf numFmtId="177" fontId="0" fillId="0" borderId="74" xfId="1" applyNumberFormat="1" applyFont="1" applyBorder="1" applyAlignment="1">
      <alignment horizontal="center" vertical="center"/>
    </xf>
    <xf numFmtId="0" fontId="0" fillId="0" borderId="74" xfId="0" applyBorder="1" applyAlignment="1">
      <alignment horizontal="center" vertical="center"/>
    </xf>
    <xf numFmtId="177" fontId="0" fillId="0" borderId="65" xfId="1" applyNumberFormat="1" applyFont="1" applyBorder="1" applyAlignment="1">
      <alignment horizontal="center" vertical="center"/>
    </xf>
    <xf numFmtId="182" fontId="22" fillId="12" borderId="80" xfId="1" applyNumberFormat="1" applyFont="1" applyFill="1" applyBorder="1" applyAlignment="1">
      <alignment horizontal="center" vertical="center"/>
    </xf>
    <xf numFmtId="188" fontId="22" fillId="12" borderId="80" xfId="1" applyNumberFormat="1" applyFont="1" applyFill="1" applyBorder="1" applyAlignment="1">
      <alignment horizontal="center" vertical="center"/>
    </xf>
    <xf numFmtId="0" fontId="31" fillId="0" borderId="1" xfId="0" applyFont="1" applyBorder="1" applyAlignment="1">
      <alignment horizontal="center" vertical="center"/>
    </xf>
    <xf numFmtId="177" fontId="0" fillId="12" borderId="67" xfId="1" applyNumberFormat="1" applyFont="1" applyFill="1" applyBorder="1" applyAlignment="1">
      <alignment horizontal="center" vertical="center"/>
    </xf>
    <xf numFmtId="177" fontId="22" fillId="3" borderId="84" xfId="0" applyNumberFormat="1" applyFont="1" applyFill="1" applyBorder="1" applyAlignment="1">
      <alignment horizontal="center" vertical="center"/>
    </xf>
    <xf numFmtId="178" fontId="22" fillId="3" borderId="85" xfId="0" applyNumberFormat="1" applyFont="1" applyFill="1" applyBorder="1" applyAlignment="1">
      <alignment horizontal="center" vertical="center"/>
    </xf>
    <xf numFmtId="38" fontId="22" fillId="3" borderId="85" xfId="1" applyFont="1" applyFill="1" applyBorder="1" applyAlignment="1">
      <alignment horizontal="center" vertical="center"/>
    </xf>
    <xf numFmtId="177" fontId="22" fillId="3" borderId="85" xfId="1" applyNumberFormat="1" applyFont="1" applyFill="1" applyBorder="1" applyAlignment="1">
      <alignment horizontal="center" vertical="center"/>
    </xf>
    <xf numFmtId="0" fontId="22" fillId="3" borderId="85" xfId="0" applyFont="1" applyFill="1" applyBorder="1" applyAlignment="1">
      <alignment horizontal="center" vertical="center"/>
    </xf>
    <xf numFmtId="0" fontId="32" fillId="12" borderId="68" xfId="0" applyFont="1" applyFill="1" applyBorder="1" applyAlignment="1">
      <alignment horizontal="center" vertical="center"/>
    </xf>
    <xf numFmtId="0" fontId="32" fillId="12" borderId="1" xfId="0" applyFont="1" applyFill="1" applyBorder="1" applyAlignment="1">
      <alignment horizontal="center" vertical="center"/>
    </xf>
    <xf numFmtId="0" fontId="32" fillId="0" borderId="68" xfId="0" applyFont="1" applyBorder="1" applyAlignment="1">
      <alignment horizontal="center" vertical="center"/>
    </xf>
    <xf numFmtId="0" fontId="32" fillId="0" borderId="1" xfId="0" applyFont="1" applyBorder="1" applyAlignment="1">
      <alignment horizontal="center" vertical="center"/>
    </xf>
    <xf numFmtId="178" fontId="33" fillId="12" borderId="1" xfId="0" applyNumberFormat="1" applyFont="1" applyFill="1" applyBorder="1" applyAlignment="1">
      <alignment horizontal="center" vertical="center"/>
    </xf>
    <xf numFmtId="182" fontId="33" fillId="12" borderId="1" xfId="1" applyNumberFormat="1" applyFont="1" applyFill="1" applyBorder="1" applyAlignment="1">
      <alignment horizontal="center" vertical="center"/>
    </xf>
    <xf numFmtId="199" fontId="33" fillId="12" borderId="1" xfId="1" applyNumberFormat="1" applyFont="1" applyFill="1" applyBorder="1" applyAlignment="1">
      <alignment horizontal="center" vertical="center"/>
    </xf>
    <xf numFmtId="201" fontId="33" fillId="12" borderId="1" xfId="1" applyNumberFormat="1" applyFont="1" applyFill="1" applyBorder="1" applyAlignment="1">
      <alignment horizontal="center" vertical="center"/>
    </xf>
    <xf numFmtId="0" fontId="33" fillId="12" borderId="1" xfId="0" applyFont="1" applyFill="1" applyBorder="1" applyAlignment="1">
      <alignment horizontal="center" vertical="center"/>
    </xf>
    <xf numFmtId="185" fontId="33" fillId="12" borderId="1" xfId="1" applyNumberFormat="1" applyFont="1" applyFill="1" applyBorder="1" applyAlignment="1">
      <alignment horizontal="center" vertical="center"/>
    </xf>
    <xf numFmtId="177" fontId="33" fillId="12" borderId="1" xfId="1" applyNumberFormat="1" applyFont="1" applyFill="1" applyBorder="1" applyAlignment="1">
      <alignment horizontal="center" vertical="center"/>
    </xf>
    <xf numFmtId="178" fontId="33" fillId="0" borderId="1" xfId="0" applyNumberFormat="1" applyFont="1" applyBorder="1" applyAlignment="1">
      <alignment horizontal="center" vertical="center"/>
    </xf>
    <xf numFmtId="182" fontId="33" fillId="0" borderId="1" xfId="1" applyNumberFormat="1" applyFont="1" applyFill="1" applyBorder="1" applyAlignment="1">
      <alignment horizontal="center" vertical="center"/>
    </xf>
    <xf numFmtId="0" fontId="33" fillId="0" borderId="1" xfId="0" applyFont="1" applyBorder="1">
      <alignment vertical="center"/>
    </xf>
    <xf numFmtId="199" fontId="33" fillId="0" borderId="1" xfId="1" applyNumberFormat="1" applyFont="1" applyFill="1" applyBorder="1" applyAlignment="1">
      <alignment horizontal="center" vertical="center"/>
    </xf>
    <xf numFmtId="199" fontId="11" fillId="13" borderId="67" xfId="1" applyNumberFormat="1" applyFont="1" applyFill="1" applyBorder="1" applyAlignment="1">
      <alignment horizontal="center" vertical="center"/>
    </xf>
    <xf numFmtId="0" fontId="28" fillId="12" borderId="75" xfId="0" applyFont="1" applyFill="1" applyBorder="1" applyAlignment="1">
      <alignment horizontal="center" vertical="center"/>
    </xf>
    <xf numFmtId="0" fontId="28" fillId="12" borderId="76" xfId="0" applyFont="1" applyFill="1" applyBorder="1" applyAlignment="1">
      <alignment horizontal="center" vertical="center"/>
    </xf>
    <xf numFmtId="178" fontId="0" fillId="12" borderId="76" xfId="0" applyNumberFormat="1" applyFill="1" applyBorder="1" applyAlignment="1">
      <alignment horizontal="center" vertical="center"/>
    </xf>
    <xf numFmtId="182" fontId="0" fillId="12" borderId="76" xfId="1" applyNumberFormat="1" applyFont="1" applyFill="1" applyBorder="1" applyAlignment="1">
      <alignment horizontal="center" vertical="center"/>
    </xf>
    <xf numFmtId="199" fontId="0" fillId="12" borderId="76" xfId="1" applyNumberFormat="1" applyFont="1" applyFill="1" applyBorder="1" applyAlignment="1">
      <alignment horizontal="center" vertical="center"/>
    </xf>
    <xf numFmtId="199" fontId="0" fillId="12" borderId="77" xfId="1" applyNumberFormat="1" applyFont="1" applyFill="1" applyBorder="1" applyAlignment="1">
      <alignment horizontal="center" vertical="center"/>
    </xf>
    <xf numFmtId="177" fontId="11" fillId="3" borderId="78" xfId="0" applyNumberFormat="1" applyFont="1" applyFill="1" applyBorder="1" applyAlignment="1">
      <alignment horizontal="center" vertical="center"/>
    </xf>
    <xf numFmtId="178" fontId="11" fillId="3" borderId="17" xfId="0" applyNumberFormat="1" applyFont="1" applyFill="1" applyBorder="1" applyAlignment="1">
      <alignment horizontal="center" vertical="center"/>
    </xf>
    <xf numFmtId="38" fontId="11" fillId="3" borderId="17" xfId="1" applyFont="1" applyFill="1" applyBorder="1" applyAlignment="1">
      <alignment horizontal="center" vertical="center"/>
    </xf>
    <xf numFmtId="177" fontId="11" fillId="3" borderId="17" xfId="1" applyNumberFormat="1" applyFont="1" applyFill="1" applyBorder="1" applyAlignment="1">
      <alignment horizontal="center" vertical="center"/>
    </xf>
    <xf numFmtId="0" fontId="11" fillId="3" borderId="17" xfId="0" applyFont="1" applyFill="1" applyBorder="1" applyAlignment="1">
      <alignment horizontal="center" vertical="center"/>
    </xf>
    <xf numFmtId="177" fontId="11" fillId="3" borderId="79" xfId="1" applyNumberFormat="1" applyFont="1" applyFill="1" applyBorder="1" applyAlignment="1">
      <alignment horizontal="center" vertical="center"/>
    </xf>
    <xf numFmtId="184" fontId="0" fillId="12" borderId="1" xfId="0" applyNumberFormat="1" applyFill="1" applyBorder="1" applyAlignment="1">
      <alignment horizontal="center" vertical="center"/>
    </xf>
    <xf numFmtId="0" fontId="31" fillId="12" borderId="1" xfId="0" applyFont="1" applyFill="1" applyBorder="1" applyAlignment="1">
      <alignment horizontal="center" vertical="center"/>
    </xf>
    <xf numFmtId="184" fontId="8" fillId="11" borderId="35" xfId="0" applyNumberFormat="1" applyFont="1" applyFill="1" applyBorder="1">
      <alignment vertical="center"/>
    </xf>
    <xf numFmtId="178" fontId="34" fillId="12" borderId="10" xfId="0" applyNumberFormat="1" applyFont="1" applyFill="1" applyBorder="1" applyAlignment="1">
      <alignment horizontal="center" vertical="center"/>
    </xf>
    <xf numFmtId="182" fontId="22" fillId="12" borderId="81" xfId="1" applyNumberFormat="1" applyFont="1" applyFill="1" applyBorder="1" applyAlignment="1">
      <alignment horizontal="center" vertical="center"/>
    </xf>
    <xf numFmtId="210" fontId="28" fillId="0" borderId="68" xfId="0" applyNumberFormat="1" applyFont="1" applyBorder="1" applyAlignment="1">
      <alignment horizontal="center" vertical="center"/>
    </xf>
    <xf numFmtId="38" fontId="8" fillId="14" borderId="54" xfId="1" applyFont="1" applyFill="1" applyBorder="1" applyAlignment="1">
      <alignment horizontal="right" vertical="center" wrapText="1"/>
    </xf>
    <xf numFmtId="178" fontId="8" fillId="14" borderId="31" xfId="1" applyNumberFormat="1" applyFont="1" applyFill="1" applyBorder="1">
      <alignment vertical="center"/>
    </xf>
    <xf numFmtId="38" fontId="8" fillId="14" borderId="31" xfId="1" applyFont="1" applyFill="1" applyBorder="1">
      <alignment vertical="center"/>
    </xf>
    <xf numFmtId="206" fontId="8" fillId="14" borderId="32" xfId="1" applyNumberFormat="1" applyFont="1" applyFill="1" applyBorder="1" applyAlignment="1">
      <alignment horizontal="right" vertical="center" wrapText="1"/>
    </xf>
    <xf numFmtId="206" fontId="8" fillId="14" borderId="53" xfId="1" applyNumberFormat="1" applyFont="1" applyFill="1" applyBorder="1">
      <alignment vertical="center"/>
    </xf>
    <xf numFmtId="182" fontId="8" fillId="14" borderId="32" xfId="0" applyNumberFormat="1" applyFont="1" applyFill="1" applyBorder="1" applyAlignment="1">
      <alignment horizontal="right" vertical="center" wrapText="1"/>
    </xf>
    <xf numFmtId="182" fontId="8" fillId="14" borderId="33" xfId="0" applyNumberFormat="1" applyFont="1" applyFill="1" applyBorder="1" applyAlignment="1">
      <alignment horizontal="right" vertical="center" wrapText="1"/>
    </xf>
    <xf numFmtId="182" fontId="8" fillId="14" borderId="57" xfId="0" applyNumberFormat="1" applyFont="1" applyFill="1" applyBorder="1" applyAlignment="1">
      <alignment horizontal="right" vertical="center" wrapText="1"/>
    </xf>
    <xf numFmtId="14" fontId="22" fillId="0" borderId="39" xfId="0" applyNumberFormat="1" applyFont="1" applyBorder="1" applyAlignment="1">
      <alignment horizontal="center" vertical="center"/>
    </xf>
    <xf numFmtId="178" fontId="34" fillId="0" borderId="10" xfId="0" applyNumberFormat="1" applyFont="1" applyBorder="1" applyAlignment="1">
      <alignment horizontal="center" vertical="center"/>
    </xf>
    <xf numFmtId="178" fontId="34" fillId="0" borderId="7" xfId="0" applyNumberFormat="1" applyFont="1" applyBorder="1" applyAlignment="1">
      <alignment horizontal="center" vertical="center"/>
    </xf>
    <xf numFmtId="0" fontId="36" fillId="0" borderId="0" xfId="0" applyFont="1" applyAlignment="1">
      <alignment horizontal="center" vertical="center"/>
    </xf>
    <xf numFmtId="178" fontId="37" fillId="2" borderId="37" xfId="0" applyNumberFormat="1" applyFont="1" applyFill="1" applyBorder="1" applyAlignment="1">
      <alignment horizontal="center" vertical="center"/>
    </xf>
    <xf numFmtId="178" fontId="38" fillId="0" borderId="10" xfId="0" applyNumberFormat="1" applyFont="1" applyBorder="1" applyAlignment="1">
      <alignment horizontal="center" vertical="center"/>
    </xf>
    <xf numFmtId="178" fontId="38" fillId="0" borderId="43" xfId="0" applyNumberFormat="1" applyFont="1" applyBorder="1" applyAlignment="1">
      <alignment horizontal="center" vertical="center"/>
    </xf>
    <xf numFmtId="182" fontId="22" fillId="0" borderId="81" xfId="1" applyNumberFormat="1" applyFont="1" applyBorder="1" applyAlignment="1">
      <alignment horizontal="center" vertical="center"/>
    </xf>
    <xf numFmtId="210" fontId="28" fillId="12" borderId="68" xfId="0" applyNumberFormat="1" applyFont="1" applyFill="1" applyBorder="1" applyAlignment="1">
      <alignment horizontal="center" vertical="center"/>
    </xf>
    <xf numFmtId="0" fontId="11" fillId="3" borderId="86" xfId="0" applyFont="1" applyFill="1" applyBorder="1" applyAlignment="1">
      <alignment horizontal="center" vertical="center"/>
    </xf>
    <xf numFmtId="0" fontId="0" fillId="12" borderId="1" xfId="0" applyFill="1" applyBorder="1">
      <alignment vertical="center"/>
    </xf>
    <xf numFmtId="14" fontId="0" fillId="12" borderId="1" xfId="0" applyNumberFormat="1" applyFill="1" applyBorder="1">
      <alignment vertical="center"/>
    </xf>
    <xf numFmtId="182" fontId="21" fillId="12" borderId="1" xfId="1" applyNumberFormat="1" applyFont="1" applyFill="1" applyBorder="1" applyAlignment="1">
      <alignment horizontal="center" vertical="center"/>
    </xf>
    <xf numFmtId="14" fontId="0" fillId="12" borderId="1" xfId="0" applyNumberFormat="1" applyFill="1" applyBorder="1" applyAlignment="1">
      <alignment horizontal="center" vertical="center"/>
    </xf>
    <xf numFmtId="182" fontId="0" fillId="0" borderId="1" xfId="8" applyNumberFormat="1" applyFont="1" applyFill="1" applyBorder="1" applyAlignment="1">
      <alignment horizontal="center" vertical="center"/>
    </xf>
    <xf numFmtId="14" fontId="39" fillId="12" borderId="0" xfId="0" applyNumberFormat="1" applyFont="1" applyFill="1">
      <alignment vertical="center"/>
    </xf>
    <xf numFmtId="199" fontId="3" fillId="12" borderId="8" xfId="1" applyNumberFormat="1" applyFont="1" applyFill="1" applyBorder="1" applyAlignment="1">
      <alignment horizontal="center" vertical="center"/>
    </xf>
    <xf numFmtId="178" fontId="22" fillId="13" borderId="10" xfId="0" applyNumberFormat="1" applyFont="1" applyFill="1" applyBorder="1" applyAlignment="1">
      <alignment horizontal="center" vertical="center"/>
    </xf>
    <xf numFmtId="178" fontId="34" fillId="13" borderId="10" xfId="0" applyNumberFormat="1" applyFont="1" applyFill="1" applyBorder="1" applyAlignment="1">
      <alignment horizontal="center" vertical="center"/>
    </xf>
    <xf numFmtId="178" fontId="22" fillId="13" borderId="7" xfId="0" applyNumberFormat="1" applyFont="1" applyFill="1" applyBorder="1" applyAlignment="1">
      <alignment horizontal="center" vertical="center"/>
    </xf>
    <xf numFmtId="177" fontId="3" fillId="13" borderId="8" xfId="1" applyNumberFormat="1" applyFont="1" applyFill="1" applyBorder="1" applyAlignment="1">
      <alignment horizontal="center" vertical="center"/>
    </xf>
    <xf numFmtId="182" fontId="22" fillId="13" borderId="81" xfId="1" applyNumberFormat="1" applyFont="1" applyFill="1" applyBorder="1" applyAlignment="1">
      <alignment horizontal="center" vertical="center"/>
    </xf>
    <xf numFmtId="0" fontId="22" fillId="13" borderId="39" xfId="0" applyFont="1" applyFill="1" applyBorder="1" applyAlignment="1">
      <alignment horizontal="center" vertical="center"/>
    </xf>
    <xf numFmtId="178" fontId="22" fillId="13" borderId="9" xfId="0" applyNumberFormat="1" applyFont="1" applyFill="1" applyBorder="1" applyAlignment="1">
      <alignment horizontal="center" vertical="center"/>
    </xf>
    <xf numFmtId="38" fontId="8" fillId="0" borderId="33" xfId="1" applyFont="1" applyBorder="1">
      <alignment vertical="center"/>
    </xf>
    <xf numFmtId="182" fontId="8" fillId="14" borderId="33" xfId="1" applyNumberFormat="1" applyFont="1" applyFill="1" applyBorder="1">
      <alignment vertical="center"/>
    </xf>
    <xf numFmtId="182" fontId="8" fillId="14" borderId="53" xfId="1" applyNumberFormat="1" applyFont="1" applyFill="1" applyBorder="1">
      <alignment vertical="center"/>
    </xf>
    <xf numFmtId="0" fontId="5" fillId="0" borderId="19"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0" xfId="0" applyFont="1" applyBorder="1" applyAlignment="1">
      <alignment horizontal="center" vertical="center" wrapText="1"/>
    </xf>
    <xf numFmtId="0" fontId="3" fillId="0" borderId="0" xfId="0" applyFont="1" applyAlignment="1">
      <alignment horizontal="center" vertical="center"/>
    </xf>
    <xf numFmtId="0" fontId="22" fillId="0" borderId="19"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20"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20" xfId="0" applyFont="1" applyBorder="1" applyAlignment="1">
      <alignment horizontal="center" vertical="center" wrapText="1"/>
    </xf>
    <xf numFmtId="0" fontId="22" fillId="0" borderId="47" xfId="0" applyFont="1" applyBorder="1" applyAlignment="1">
      <alignment horizontal="center" vertical="center" wrapText="1"/>
    </xf>
    <xf numFmtId="0" fontId="22" fillId="0" borderId="48" xfId="0" applyFont="1" applyBorder="1" applyAlignment="1">
      <alignment horizontal="center" vertical="center" wrapText="1"/>
    </xf>
    <xf numFmtId="0" fontId="22" fillId="0" borderId="49" xfId="0" applyFont="1" applyBorder="1" applyAlignment="1">
      <alignment horizontal="center" vertical="center" wrapText="1"/>
    </xf>
    <xf numFmtId="0" fontId="26" fillId="0" borderId="16" xfId="0" applyFont="1" applyBorder="1" applyAlignment="1">
      <alignment horizontal="center" vertical="center"/>
    </xf>
    <xf numFmtId="0" fontId="26" fillId="0" borderId="23" xfId="0" applyFont="1" applyBorder="1" applyAlignment="1">
      <alignment horizontal="center" vertical="center"/>
    </xf>
    <xf numFmtId="9" fontId="0" fillId="0" borderId="0" xfId="6" applyFont="1" applyAlignment="1">
      <alignment horizontal="left" vertical="center"/>
    </xf>
    <xf numFmtId="0" fontId="0" fillId="0" borderId="0" xfId="0" applyAlignment="1">
      <alignment horizontal="center" vertical="center" wrapText="1"/>
    </xf>
    <xf numFmtId="38" fontId="40" fillId="14" borderId="69" xfId="1" applyFont="1" applyFill="1" applyBorder="1" applyAlignment="1">
      <alignment horizontal="right" vertical="center" wrapText="1"/>
    </xf>
    <xf numFmtId="197" fontId="40" fillId="14" borderId="70" xfId="1" applyNumberFormat="1" applyFont="1" applyFill="1" applyBorder="1" applyAlignment="1">
      <alignment horizontal="right" vertical="center" wrapText="1"/>
    </xf>
    <xf numFmtId="184" fontId="40" fillId="14" borderId="71" xfId="0" applyNumberFormat="1" applyFont="1" applyFill="1" applyBorder="1" applyAlignment="1">
      <alignment horizontal="right" vertical="center" wrapText="1"/>
    </xf>
    <xf numFmtId="198" fontId="40" fillId="14" borderId="71" xfId="0" applyNumberFormat="1" applyFont="1" applyFill="1" applyBorder="1" applyAlignment="1">
      <alignment horizontal="right" vertical="center" wrapText="1"/>
    </xf>
    <xf numFmtId="202" fontId="40" fillId="14" borderId="72" xfId="0" applyNumberFormat="1" applyFont="1" applyFill="1" applyBorder="1" applyAlignment="1">
      <alignment horizontal="right" vertical="center" wrapText="1"/>
    </xf>
    <xf numFmtId="38" fontId="4" fillId="0" borderId="48" xfId="1" applyFont="1" applyFill="1" applyBorder="1">
      <alignment vertical="center"/>
    </xf>
    <xf numFmtId="185" fontId="4" fillId="11" borderId="87" xfId="1" applyNumberFormat="1" applyFont="1" applyFill="1" applyBorder="1">
      <alignment vertical="center"/>
    </xf>
    <xf numFmtId="211" fontId="8" fillId="0" borderId="27" xfId="1" applyNumberFormat="1" applyFont="1" applyFill="1" applyBorder="1">
      <alignment vertical="center"/>
    </xf>
  </cellXfs>
  <cellStyles count="24">
    <cellStyle name="Comma [0] 2" xfId="21" xr:uid="{7932EF28-1AC4-422F-9EAA-E79C51FF85C9}"/>
    <cellStyle name="Comma 2" xfId="20" xr:uid="{92E9682B-1FD3-46A0-836B-C24E851304A0}"/>
    <cellStyle name="Normal 2" xfId="19" xr:uid="{0D368CB0-D6D1-4787-9169-A4EB6599E890}"/>
    <cellStyle name="Percent 2" xfId="22" xr:uid="{119A7ECB-AA6C-4D40-99C1-422AD8C96BF4}"/>
    <cellStyle name="パーセント" xfId="6" builtinId="5"/>
    <cellStyle name="パーセント 2" xfId="5" xr:uid="{00000000-0005-0000-0000-000001000000}"/>
    <cellStyle name="パーセント 3" xfId="18" xr:uid="{6D7AD3DE-0E08-4D06-A981-B915A5D30A7C}"/>
    <cellStyle name="ハイパーリンク" xfId="7" builtinId="8"/>
    <cellStyle name="桁区切り" xfId="1" builtinId="6"/>
    <cellStyle name="桁区切り [0.00] 2" xfId="10" xr:uid="{4F3EC79A-9C13-4921-8C3B-52F909D82C3E}"/>
    <cellStyle name="桁区切り [0.00] 2 2" xfId="14" xr:uid="{F88F2D8E-32C5-4549-8A2B-1A2E34A49BF2}"/>
    <cellStyle name="桁区切り [0.00] 3" xfId="16" xr:uid="{87FEFE46-B138-4FEC-B883-378DBE36F3D1}"/>
    <cellStyle name="桁区切り 2" xfId="2" xr:uid="{00000000-0005-0000-0000-000004000000}"/>
    <cellStyle name="通貨" xfId="8" builtinId="7"/>
    <cellStyle name="通貨 [0.00] 2" xfId="17" xr:uid="{5A40398F-B471-43D5-BCF1-ED0407CD276F}"/>
    <cellStyle name="通貨 2" xfId="3" xr:uid="{00000000-0005-0000-0000-000006000000}"/>
    <cellStyle name="通貨 2 2" xfId="9" xr:uid="{6092CC6D-E35E-4213-AD63-61DD8CE252F8}"/>
    <cellStyle name="通貨 2 2 2" xfId="13" xr:uid="{9712AB82-3696-45F3-8A98-5DD2CF2D5C98}"/>
    <cellStyle name="通貨 2 3" xfId="11" xr:uid="{C128705E-1EA9-4B78-9090-658636D5A65B}"/>
    <cellStyle name="通貨 3" xfId="12" xr:uid="{062822B9-DDBE-4B91-969B-953DF7B41CE7}"/>
    <cellStyle name="通貨 4" xfId="23" xr:uid="{25FB5F44-3184-4FDE-A84B-E8FAA7C014E2}"/>
    <cellStyle name="標準" xfId="0" builtinId="0"/>
    <cellStyle name="標準 2" xfId="4" xr:uid="{00000000-0005-0000-0000-000008000000}"/>
    <cellStyle name="標準 3" xfId="15" xr:uid="{1837B165-7638-4A25-A51E-323B821F1963}"/>
  </cellStyles>
  <dxfs count="0"/>
  <tableStyles count="0" defaultTableStyle="TableStyleMedium2" defaultPivotStyle="PivotStyleLight16"/>
  <colors>
    <mruColors>
      <color rgb="FF7FFAFD"/>
      <color rgb="FF03E7ED"/>
      <color rgb="FFFFFFCC"/>
      <color rgb="FFE10F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4</xdr:col>
      <xdr:colOff>2200275</xdr:colOff>
      <xdr:row>21</xdr:row>
      <xdr:rowOff>200025</xdr:rowOff>
    </xdr:from>
    <xdr:to>
      <xdr:col>5</xdr:col>
      <xdr:colOff>171450</xdr:colOff>
      <xdr:row>24</xdr:row>
      <xdr:rowOff>9525</xdr:rowOff>
    </xdr:to>
    <xdr:cxnSp macro="">
      <xdr:nvCxnSpPr>
        <xdr:cNvPr id="3" name="直線矢印コネクタ 2">
          <a:extLst>
            <a:ext uri="{FF2B5EF4-FFF2-40B4-BE49-F238E27FC236}">
              <a16:creationId xmlns:a16="http://schemas.microsoft.com/office/drawing/2014/main" id="{00000000-0008-0000-0200-000003000000}"/>
            </a:ext>
          </a:extLst>
        </xdr:cNvPr>
        <xdr:cNvCxnSpPr/>
      </xdr:nvCxnSpPr>
      <xdr:spPr>
        <a:xfrm flipV="1">
          <a:off x="7905750" y="4857750"/>
          <a:ext cx="1466850" cy="361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542925</xdr:colOff>
      <xdr:row>23</xdr:row>
      <xdr:rowOff>85725</xdr:rowOff>
    </xdr:from>
    <xdr:to>
      <xdr:col>1</xdr:col>
      <xdr:colOff>3533775</xdr:colOff>
      <xdr:row>31</xdr:row>
      <xdr:rowOff>152400</xdr:rowOff>
    </xdr:to>
    <xdr:sp macro="" textlink="">
      <xdr:nvSpPr>
        <xdr:cNvPr id="2" name="テキスト ボックス 1">
          <a:extLst>
            <a:ext uri="{FF2B5EF4-FFF2-40B4-BE49-F238E27FC236}">
              <a16:creationId xmlns:a16="http://schemas.microsoft.com/office/drawing/2014/main" id="{00000000-0008-0000-0500-000002000000}"/>
            </a:ext>
          </a:extLst>
        </xdr:cNvPr>
        <xdr:cNvSpPr txBox="1"/>
      </xdr:nvSpPr>
      <xdr:spPr>
        <a:xfrm>
          <a:off x="1228725" y="3848100"/>
          <a:ext cx="2990850" cy="143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100">
              <a:solidFill>
                <a:schemeClr val="dk1"/>
              </a:solidFill>
              <a:effectLst/>
              <a:latin typeface="+mn-lt"/>
              <a:ea typeface="+mn-ea"/>
              <a:cs typeface="+mn-cs"/>
            </a:rPr>
            <a:t>神戸植物防疫所大阪支所</a:t>
          </a:r>
        </a:p>
        <a:p>
          <a:r>
            <a:rPr lang="ja-JP" altLang="ja-JP" sz="1100">
              <a:solidFill>
                <a:schemeClr val="dk1"/>
              </a:solidFill>
              <a:effectLst/>
              <a:latin typeface="+mn-lt"/>
              <a:ea typeface="+mn-ea"/>
              <a:cs typeface="+mn-cs"/>
            </a:rPr>
            <a:t>〒</a:t>
          </a:r>
          <a:r>
            <a:rPr lang="en-US" altLang="ja-JP" sz="1100">
              <a:solidFill>
                <a:schemeClr val="dk1"/>
              </a:solidFill>
              <a:effectLst/>
              <a:latin typeface="+mn-lt"/>
              <a:ea typeface="+mn-ea"/>
              <a:cs typeface="+mn-cs"/>
            </a:rPr>
            <a:t>552-0021</a:t>
          </a:r>
          <a:endParaRPr lang="ja-JP" altLang="ja-JP" sz="1100">
            <a:solidFill>
              <a:schemeClr val="dk1"/>
            </a:solidFill>
            <a:effectLst/>
            <a:latin typeface="+mn-lt"/>
            <a:ea typeface="+mn-ea"/>
            <a:cs typeface="+mn-cs"/>
          </a:endParaRPr>
        </a:p>
        <a:p>
          <a:r>
            <a:rPr lang="ja-JP" altLang="ja-JP" sz="1100">
              <a:solidFill>
                <a:schemeClr val="dk1"/>
              </a:solidFill>
              <a:effectLst/>
              <a:latin typeface="+mn-lt"/>
              <a:ea typeface="+mn-ea"/>
              <a:cs typeface="+mn-cs"/>
            </a:rPr>
            <a:t>大阪市港区築港</a:t>
          </a:r>
          <a:r>
            <a:rPr lang="en-US" altLang="ja-JP" sz="1100">
              <a:solidFill>
                <a:schemeClr val="dk1"/>
              </a:solidFill>
              <a:effectLst/>
              <a:latin typeface="+mn-lt"/>
              <a:ea typeface="+mn-ea"/>
              <a:cs typeface="+mn-cs"/>
            </a:rPr>
            <a:t>4-10-3   </a:t>
          </a:r>
          <a:r>
            <a:rPr lang="ja-JP" altLang="ja-JP" sz="1100">
              <a:solidFill>
                <a:schemeClr val="dk1"/>
              </a:solidFill>
              <a:effectLst/>
              <a:latin typeface="+mn-lt"/>
              <a:ea typeface="+mn-ea"/>
              <a:cs typeface="+mn-cs"/>
            </a:rPr>
            <a:t>大阪港湾合同庁舎内</a:t>
          </a:r>
        </a:p>
        <a:p>
          <a:r>
            <a:rPr lang="ja-JP" altLang="ja-JP" sz="1100">
              <a:solidFill>
                <a:schemeClr val="dk1"/>
              </a:solidFill>
              <a:effectLst/>
              <a:latin typeface="+mn-lt"/>
              <a:ea typeface="+mn-ea"/>
              <a:cs typeface="+mn-cs"/>
            </a:rPr>
            <a:t>大阪港駅（大阪市営地下鉄中央線）</a:t>
          </a:r>
          <a:r>
            <a:rPr lang="en-US" altLang="ja-JP" sz="1100">
              <a:solidFill>
                <a:schemeClr val="dk1"/>
              </a:solidFill>
              <a:effectLst/>
              <a:latin typeface="+mn-lt"/>
              <a:ea typeface="+mn-ea"/>
              <a:cs typeface="+mn-cs"/>
            </a:rPr>
            <a:t>1</a:t>
          </a:r>
          <a:r>
            <a:rPr lang="ja-JP" altLang="ja-JP" sz="1100">
              <a:solidFill>
                <a:schemeClr val="dk1"/>
              </a:solidFill>
              <a:effectLst/>
              <a:latin typeface="+mn-lt"/>
              <a:ea typeface="+mn-ea"/>
              <a:cs typeface="+mn-cs"/>
            </a:rPr>
            <a:t>番出口より</a:t>
          </a:r>
          <a:r>
            <a:rPr lang="en-US" altLang="ja-JP" sz="1100">
              <a:solidFill>
                <a:schemeClr val="dk1"/>
              </a:solidFill>
              <a:effectLst/>
              <a:latin typeface="+mn-lt"/>
              <a:ea typeface="+mn-ea"/>
              <a:cs typeface="+mn-cs"/>
            </a:rPr>
            <a:t>300m</a:t>
          </a:r>
          <a:endParaRPr lang="ja-JP" altLang="ja-JP" sz="1100">
            <a:solidFill>
              <a:schemeClr val="dk1"/>
            </a:solidFill>
            <a:effectLst/>
            <a:latin typeface="+mn-lt"/>
            <a:ea typeface="+mn-ea"/>
            <a:cs typeface="+mn-cs"/>
          </a:endParaRPr>
        </a:p>
        <a:p>
          <a:r>
            <a:rPr lang="en-US" altLang="ja-JP" sz="1100">
              <a:solidFill>
                <a:schemeClr val="dk1"/>
              </a:solidFill>
              <a:effectLst/>
              <a:latin typeface="+mn-lt"/>
              <a:ea typeface="+mn-ea"/>
              <a:cs typeface="+mn-cs"/>
            </a:rPr>
            <a:t>TEL 06-6571-0801</a:t>
          </a:r>
          <a:endParaRPr lang="ja-JP" altLang="ja-JP" sz="1100">
            <a:solidFill>
              <a:schemeClr val="dk1"/>
            </a:solidFill>
            <a:effectLst/>
            <a:latin typeface="+mn-lt"/>
            <a:ea typeface="+mn-ea"/>
            <a:cs typeface="+mn-cs"/>
          </a:endParaRPr>
        </a:p>
        <a:p>
          <a:r>
            <a:rPr lang="en-US" altLang="ja-JP" sz="1100">
              <a:solidFill>
                <a:schemeClr val="dk1"/>
              </a:solidFill>
              <a:effectLst/>
              <a:latin typeface="+mn-lt"/>
              <a:ea typeface="+mn-ea"/>
              <a:cs typeface="+mn-cs"/>
            </a:rPr>
            <a:t>FAX 06-6577-5160</a:t>
          </a:r>
          <a:endParaRPr lang="ja-JP" altLang="ja-JP" sz="1100">
            <a:solidFill>
              <a:schemeClr val="dk1"/>
            </a:solidFill>
            <a:effectLst/>
            <a:latin typeface="+mn-lt"/>
            <a:ea typeface="+mn-ea"/>
            <a:cs typeface="+mn-cs"/>
          </a:endParaRPr>
        </a:p>
        <a:p>
          <a:endParaRPr kumimoji="1" lang="ja-JP" altLang="en-US" sz="1100"/>
        </a:p>
      </xdr:txBody>
    </xdr:sp>
    <xdr:clientData/>
  </xdr:twoCellAnchor>
  <xdr:twoCellAnchor>
    <xdr:from>
      <xdr:col>1</xdr:col>
      <xdr:colOff>485775</xdr:colOff>
      <xdr:row>9</xdr:row>
      <xdr:rowOff>123825</xdr:rowOff>
    </xdr:from>
    <xdr:to>
      <xdr:col>1</xdr:col>
      <xdr:colOff>3467100</xdr:colOff>
      <xdr:row>18</xdr:row>
      <xdr:rowOff>161925</xdr:rowOff>
    </xdr:to>
    <xdr:sp macro="" textlink="">
      <xdr:nvSpPr>
        <xdr:cNvPr id="3" name="テキスト ボックス 2">
          <a:extLst>
            <a:ext uri="{FF2B5EF4-FFF2-40B4-BE49-F238E27FC236}">
              <a16:creationId xmlns:a16="http://schemas.microsoft.com/office/drawing/2014/main" id="{00000000-0008-0000-0500-000003000000}"/>
            </a:ext>
          </a:extLst>
        </xdr:cNvPr>
        <xdr:cNvSpPr txBox="1"/>
      </xdr:nvSpPr>
      <xdr:spPr>
        <a:xfrm>
          <a:off x="1171575" y="1828800"/>
          <a:ext cx="2981325" cy="158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100">
              <a:solidFill>
                <a:schemeClr val="dk1"/>
              </a:solidFill>
              <a:effectLst/>
              <a:latin typeface="+mn-lt"/>
              <a:ea typeface="+mn-ea"/>
              <a:cs typeface="+mn-cs"/>
            </a:rPr>
            <a:t>㈱ビーアイシーフォワーディング</a:t>
          </a:r>
        </a:p>
        <a:p>
          <a:r>
            <a:rPr lang="ja-JP" altLang="ja-JP" sz="1100">
              <a:solidFill>
                <a:schemeClr val="dk1"/>
              </a:solidFill>
              <a:effectLst/>
              <a:latin typeface="+mn-lt"/>
              <a:ea typeface="+mn-ea"/>
              <a:cs typeface="+mn-cs"/>
            </a:rPr>
            <a:t>海外営業部</a:t>
          </a:r>
        </a:p>
        <a:p>
          <a:r>
            <a:rPr lang="ja-JP" altLang="ja-JP" sz="1100">
              <a:solidFill>
                <a:schemeClr val="dk1"/>
              </a:solidFill>
              <a:effectLst/>
              <a:latin typeface="+mn-lt"/>
              <a:ea typeface="+mn-ea"/>
              <a:cs typeface="+mn-cs"/>
            </a:rPr>
            <a:t>白川　和也</a:t>
          </a:r>
          <a:r>
            <a:rPr lang="en-US" altLang="ja-JP" sz="1100">
              <a:solidFill>
                <a:schemeClr val="dk1"/>
              </a:solidFill>
              <a:effectLst/>
              <a:latin typeface="+mn-lt"/>
              <a:ea typeface="+mn-ea"/>
              <a:cs typeface="+mn-cs"/>
            </a:rPr>
            <a:t> / KAZUYA SHIRAKAWA</a:t>
          </a:r>
          <a:endParaRPr lang="ja-JP" altLang="ja-JP" sz="1100">
            <a:solidFill>
              <a:schemeClr val="dk1"/>
            </a:solidFill>
            <a:effectLst/>
            <a:latin typeface="+mn-lt"/>
            <a:ea typeface="+mn-ea"/>
            <a:cs typeface="+mn-cs"/>
          </a:endParaRPr>
        </a:p>
        <a:p>
          <a:r>
            <a:rPr lang="ja-JP" altLang="ja-JP" sz="1100">
              <a:solidFill>
                <a:schemeClr val="dk1"/>
              </a:solidFill>
              <a:effectLst/>
              <a:latin typeface="+mn-lt"/>
              <a:ea typeface="+mn-ea"/>
              <a:cs typeface="+mn-cs"/>
            </a:rPr>
            <a:t>東京都千代田区神田和泉町</a:t>
          </a:r>
          <a:r>
            <a:rPr lang="en-US" altLang="ja-JP" sz="1100">
              <a:solidFill>
                <a:schemeClr val="dk1"/>
              </a:solidFill>
              <a:effectLst/>
              <a:latin typeface="+mn-lt"/>
              <a:ea typeface="+mn-ea"/>
              <a:cs typeface="+mn-cs"/>
            </a:rPr>
            <a:t>1-11-17</a:t>
          </a:r>
          <a:endParaRPr lang="ja-JP" altLang="ja-JP" sz="1100">
            <a:solidFill>
              <a:schemeClr val="dk1"/>
            </a:solidFill>
            <a:effectLst/>
            <a:latin typeface="+mn-lt"/>
            <a:ea typeface="+mn-ea"/>
            <a:cs typeface="+mn-cs"/>
          </a:endParaRPr>
        </a:p>
        <a:p>
          <a:r>
            <a:rPr lang="ja-JP" altLang="ja-JP" sz="1100">
              <a:solidFill>
                <a:schemeClr val="dk1"/>
              </a:solidFill>
              <a:effectLst/>
              <a:latin typeface="+mn-lt"/>
              <a:ea typeface="+mn-ea"/>
              <a:cs typeface="+mn-cs"/>
            </a:rPr>
            <a:t>プラントビル</a:t>
          </a:r>
          <a:r>
            <a:rPr lang="en-US" altLang="ja-JP" sz="1100">
              <a:solidFill>
                <a:schemeClr val="dk1"/>
              </a:solidFill>
              <a:effectLst/>
              <a:latin typeface="+mn-lt"/>
              <a:ea typeface="+mn-ea"/>
              <a:cs typeface="+mn-cs"/>
            </a:rPr>
            <a:t>3F-B</a:t>
          </a:r>
          <a:endParaRPr lang="ja-JP" altLang="ja-JP" sz="1100">
            <a:solidFill>
              <a:schemeClr val="dk1"/>
            </a:solidFill>
            <a:effectLst/>
            <a:latin typeface="+mn-lt"/>
            <a:ea typeface="+mn-ea"/>
            <a:cs typeface="+mn-cs"/>
          </a:endParaRPr>
        </a:p>
        <a:p>
          <a:r>
            <a:rPr lang="en-US" altLang="ja-JP" sz="1100">
              <a:solidFill>
                <a:schemeClr val="dk1"/>
              </a:solidFill>
              <a:effectLst/>
              <a:latin typeface="+mn-lt"/>
              <a:ea typeface="+mn-ea"/>
              <a:cs typeface="+mn-cs"/>
            </a:rPr>
            <a:t>TEL: 03-5839-2884</a:t>
          </a:r>
          <a:endParaRPr lang="ja-JP" altLang="ja-JP" sz="1100">
            <a:solidFill>
              <a:schemeClr val="dk1"/>
            </a:solidFill>
            <a:effectLst/>
            <a:latin typeface="+mn-lt"/>
            <a:ea typeface="+mn-ea"/>
            <a:cs typeface="+mn-cs"/>
          </a:endParaRPr>
        </a:p>
        <a:p>
          <a:r>
            <a:rPr lang="en-US" altLang="ja-JP" sz="1100">
              <a:solidFill>
                <a:schemeClr val="dk1"/>
              </a:solidFill>
              <a:effectLst/>
              <a:latin typeface="+mn-lt"/>
              <a:ea typeface="+mn-ea"/>
              <a:cs typeface="+mn-cs"/>
            </a:rPr>
            <a:t>FAX: 03-5839-2885</a:t>
          </a:r>
        </a:p>
        <a:p>
          <a:r>
            <a:rPr lang="en-US" altLang="ja-JP" sz="1100">
              <a:solidFill>
                <a:schemeClr val="dk1"/>
              </a:solidFill>
              <a:effectLst/>
              <a:latin typeface="+mn-lt"/>
              <a:ea typeface="+mn-ea"/>
              <a:cs typeface="+mn-cs"/>
            </a:rPr>
            <a:t>info@bicforwarding.com</a:t>
          </a:r>
          <a:br>
            <a:rPr lang="en-US" altLang="ja-JP" sz="1100">
              <a:solidFill>
                <a:schemeClr val="dk1"/>
              </a:solidFill>
              <a:effectLst/>
              <a:latin typeface="+mn-lt"/>
              <a:ea typeface="+mn-ea"/>
              <a:cs typeface="+mn-cs"/>
            </a:rPr>
          </a:br>
          <a:endParaRPr kumimoji="1" lang="ja-JP" altLang="en-US" sz="1100"/>
        </a:p>
      </xdr:txBody>
    </xdr:sp>
    <xdr:clientData/>
  </xdr:twoCellAnchor>
  <xdr:twoCellAnchor>
    <xdr:from>
      <xdr:col>4</xdr:col>
      <xdr:colOff>542925</xdr:colOff>
      <xdr:row>23</xdr:row>
      <xdr:rowOff>85725</xdr:rowOff>
    </xdr:from>
    <xdr:to>
      <xdr:col>4</xdr:col>
      <xdr:colOff>3533775</xdr:colOff>
      <xdr:row>31</xdr:row>
      <xdr:rowOff>152400</xdr:rowOff>
    </xdr:to>
    <xdr:sp macro="" textlink="">
      <xdr:nvSpPr>
        <xdr:cNvPr id="4" name="テキスト ボックス 3">
          <a:extLst>
            <a:ext uri="{FF2B5EF4-FFF2-40B4-BE49-F238E27FC236}">
              <a16:creationId xmlns:a16="http://schemas.microsoft.com/office/drawing/2014/main" id="{00000000-0008-0000-0500-000004000000}"/>
            </a:ext>
          </a:extLst>
        </xdr:cNvPr>
        <xdr:cNvSpPr txBox="1"/>
      </xdr:nvSpPr>
      <xdr:spPr>
        <a:xfrm>
          <a:off x="1228725" y="4191000"/>
          <a:ext cx="2990850" cy="143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100">
              <a:solidFill>
                <a:schemeClr val="dk1"/>
              </a:solidFill>
              <a:effectLst/>
              <a:latin typeface="+mn-lt"/>
              <a:ea typeface="+mn-ea"/>
              <a:cs typeface="+mn-cs"/>
            </a:rPr>
            <a:t>神戸植物防疫所大阪支所</a:t>
          </a:r>
        </a:p>
        <a:p>
          <a:r>
            <a:rPr lang="ja-JP" altLang="ja-JP" sz="1100">
              <a:solidFill>
                <a:schemeClr val="dk1"/>
              </a:solidFill>
              <a:effectLst/>
              <a:latin typeface="+mn-lt"/>
              <a:ea typeface="+mn-ea"/>
              <a:cs typeface="+mn-cs"/>
            </a:rPr>
            <a:t>〒</a:t>
          </a:r>
          <a:r>
            <a:rPr lang="en-US" altLang="ja-JP" sz="1100">
              <a:solidFill>
                <a:schemeClr val="dk1"/>
              </a:solidFill>
              <a:effectLst/>
              <a:latin typeface="+mn-lt"/>
              <a:ea typeface="+mn-ea"/>
              <a:cs typeface="+mn-cs"/>
            </a:rPr>
            <a:t>552-0021</a:t>
          </a:r>
          <a:endParaRPr lang="ja-JP" altLang="ja-JP" sz="1100">
            <a:solidFill>
              <a:schemeClr val="dk1"/>
            </a:solidFill>
            <a:effectLst/>
            <a:latin typeface="+mn-lt"/>
            <a:ea typeface="+mn-ea"/>
            <a:cs typeface="+mn-cs"/>
          </a:endParaRPr>
        </a:p>
        <a:p>
          <a:r>
            <a:rPr lang="ja-JP" altLang="ja-JP" sz="1100">
              <a:solidFill>
                <a:schemeClr val="dk1"/>
              </a:solidFill>
              <a:effectLst/>
              <a:latin typeface="+mn-lt"/>
              <a:ea typeface="+mn-ea"/>
              <a:cs typeface="+mn-cs"/>
            </a:rPr>
            <a:t>大阪市港区築港</a:t>
          </a:r>
          <a:r>
            <a:rPr lang="en-US" altLang="ja-JP" sz="1100">
              <a:solidFill>
                <a:schemeClr val="dk1"/>
              </a:solidFill>
              <a:effectLst/>
              <a:latin typeface="+mn-lt"/>
              <a:ea typeface="+mn-ea"/>
              <a:cs typeface="+mn-cs"/>
            </a:rPr>
            <a:t>4-10-3   </a:t>
          </a:r>
          <a:r>
            <a:rPr lang="ja-JP" altLang="ja-JP" sz="1100">
              <a:solidFill>
                <a:schemeClr val="dk1"/>
              </a:solidFill>
              <a:effectLst/>
              <a:latin typeface="+mn-lt"/>
              <a:ea typeface="+mn-ea"/>
              <a:cs typeface="+mn-cs"/>
            </a:rPr>
            <a:t>大阪港湾合同庁舎内</a:t>
          </a:r>
        </a:p>
        <a:p>
          <a:r>
            <a:rPr lang="ja-JP" altLang="ja-JP" sz="1100">
              <a:solidFill>
                <a:schemeClr val="dk1"/>
              </a:solidFill>
              <a:effectLst/>
              <a:latin typeface="+mn-lt"/>
              <a:ea typeface="+mn-ea"/>
              <a:cs typeface="+mn-cs"/>
            </a:rPr>
            <a:t>大阪港駅（大阪市営地下鉄中央線）</a:t>
          </a:r>
          <a:r>
            <a:rPr lang="en-US" altLang="ja-JP" sz="1100">
              <a:solidFill>
                <a:schemeClr val="dk1"/>
              </a:solidFill>
              <a:effectLst/>
              <a:latin typeface="+mn-lt"/>
              <a:ea typeface="+mn-ea"/>
              <a:cs typeface="+mn-cs"/>
            </a:rPr>
            <a:t>1</a:t>
          </a:r>
          <a:r>
            <a:rPr lang="ja-JP" altLang="ja-JP" sz="1100">
              <a:solidFill>
                <a:schemeClr val="dk1"/>
              </a:solidFill>
              <a:effectLst/>
              <a:latin typeface="+mn-lt"/>
              <a:ea typeface="+mn-ea"/>
              <a:cs typeface="+mn-cs"/>
            </a:rPr>
            <a:t>番出口より</a:t>
          </a:r>
          <a:r>
            <a:rPr lang="en-US" altLang="ja-JP" sz="1100">
              <a:solidFill>
                <a:schemeClr val="dk1"/>
              </a:solidFill>
              <a:effectLst/>
              <a:latin typeface="+mn-lt"/>
              <a:ea typeface="+mn-ea"/>
              <a:cs typeface="+mn-cs"/>
            </a:rPr>
            <a:t>300m</a:t>
          </a:r>
          <a:endParaRPr lang="ja-JP" altLang="ja-JP" sz="1100">
            <a:solidFill>
              <a:schemeClr val="dk1"/>
            </a:solidFill>
            <a:effectLst/>
            <a:latin typeface="+mn-lt"/>
            <a:ea typeface="+mn-ea"/>
            <a:cs typeface="+mn-cs"/>
          </a:endParaRPr>
        </a:p>
        <a:p>
          <a:r>
            <a:rPr lang="en-US" altLang="ja-JP" sz="1100">
              <a:solidFill>
                <a:schemeClr val="dk1"/>
              </a:solidFill>
              <a:effectLst/>
              <a:latin typeface="+mn-lt"/>
              <a:ea typeface="+mn-ea"/>
              <a:cs typeface="+mn-cs"/>
            </a:rPr>
            <a:t>TEL 06-6571-0801</a:t>
          </a:r>
          <a:endParaRPr lang="ja-JP" altLang="ja-JP" sz="1100">
            <a:solidFill>
              <a:schemeClr val="dk1"/>
            </a:solidFill>
            <a:effectLst/>
            <a:latin typeface="+mn-lt"/>
            <a:ea typeface="+mn-ea"/>
            <a:cs typeface="+mn-cs"/>
          </a:endParaRPr>
        </a:p>
        <a:p>
          <a:r>
            <a:rPr lang="en-US" altLang="ja-JP" sz="1100">
              <a:solidFill>
                <a:schemeClr val="dk1"/>
              </a:solidFill>
              <a:effectLst/>
              <a:latin typeface="+mn-lt"/>
              <a:ea typeface="+mn-ea"/>
              <a:cs typeface="+mn-cs"/>
            </a:rPr>
            <a:t>FAX 06-6577-5160</a:t>
          </a:r>
          <a:endParaRPr lang="ja-JP" altLang="ja-JP" sz="1100">
            <a:solidFill>
              <a:schemeClr val="dk1"/>
            </a:solidFill>
            <a:effectLst/>
            <a:latin typeface="+mn-lt"/>
            <a:ea typeface="+mn-ea"/>
            <a:cs typeface="+mn-cs"/>
          </a:endParaRPr>
        </a:p>
        <a:p>
          <a:endParaRPr kumimoji="1" lang="ja-JP" altLang="en-US" sz="1100"/>
        </a:p>
      </xdr:txBody>
    </xdr:sp>
    <xdr:clientData/>
  </xdr:twoCellAnchor>
</xdr:wsDr>
</file>

<file path=xl/persons/person.xml><?xml version="1.0" encoding="utf-8"?>
<personList xmlns="http://schemas.microsoft.com/office/spreadsheetml/2018/threadedcomments" xmlns:x="http://schemas.openxmlformats.org/spreadsheetml/2006/main">
  <person displayName="048 NPC" id="{8D742DEB-5081-4C48-BE23-D7A111385B1E}" userId="048 NPC" providerId="None"/>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30" dT="2026-02-09T06:06:52.64" personId="{8D742DEB-5081-4C48-BE23-D7A111385B1E}" id="{3A68854D-13EA-431C-952F-D0640CB0166E}">
    <text>10月、11月、12月3ヶ月引いた後¥226,933</text>
  </threadedComment>
  <threadedComment ref="M30" dT="2026-02-13T03:01:32.35" personId="{8D742DEB-5081-4C48-BE23-D7A111385B1E}" id="{A4C7A842-E135-42B1-BB2C-F026C2284E02}" parentId="{3A68854D-13EA-431C-952F-D0640CB0166E}">
    <text>10～12月分消費税含め請求。税引後 ¥226,933／調整前額 ¥297,731</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hyperlink" Target="mailto:sasayama-osaka@oceanlinks.co.jp"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P43"/>
  <sheetViews>
    <sheetView tabSelected="1" view="pageBreakPreview" zoomScale="70" zoomScaleNormal="70" zoomScaleSheetLayoutView="70" workbookViewId="0">
      <pane xSplit="3" ySplit="4" topLeftCell="D34" activePane="bottomRight" state="frozen"/>
      <selection activeCell="F19" sqref="F19"/>
      <selection pane="topRight" activeCell="F19" sqref="F19"/>
      <selection pane="bottomLeft" activeCell="F19" sqref="F19"/>
      <selection pane="bottomRight" sqref="A1:XFD1048576"/>
    </sheetView>
  </sheetViews>
  <sheetFormatPr defaultRowHeight="13" x14ac:dyDescent="0.2"/>
  <cols>
    <col min="1" max="1" width="15.90625" customWidth="1"/>
    <col min="2" max="2" width="18.1796875" customWidth="1"/>
    <col min="3" max="3" width="19.08984375" customWidth="1"/>
    <col min="4" max="4" width="23.90625" style="213" customWidth="1"/>
    <col min="5" max="6" width="23.90625" customWidth="1"/>
    <col min="7" max="7" width="20.26953125" customWidth="1"/>
    <col min="8" max="14" width="19.54296875" customWidth="1"/>
    <col min="15" max="15" width="19.54296875" style="142" customWidth="1"/>
    <col min="16" max="16" width="19.54296875" customWidth="1"/>
  </cols>
  <sheetData>
    <row r="1" spans="1:16" ht="21" customHeight="1" x14ac:dyDescent="0.2">
      <c r="A1" s="141" t="s">
        <v>198</v>
      </c>
      <c r="C1" s="141"/>
      <c r="D1" s="202"/>
      <c r="E1" s="141"/>
    </row>
    <row r="2" spans="1:16" ht="22" customHeight="1" x14ac:dyDescent="0.2">
      <c r="A2" s="141" t="s">
        <v>275</v>
      </c>
      <c r="C2" s="141"/>
      <c r="D2" s="202"/>
      <c r="E2" s="141"/>
      <c r="F2" s="141"/>
      <c r="O2"/>
    </row>
    <row r="3" spans="1:16" ht="22" customHeight="1" thickBot="1" x14ac:dyDescent="0.25">
      <c r="A3" s="141"/>
      <c r="C3" s="141"/>
      <c r="D3" s="202"/>
      <c r="E3" s="141"/>
      <c r="F3" s="428"/>
      <c r="G3" s="428"/>
      <c r="H3" s="428"/>
      <c r="I3" s="428"/>
      <c r="J3" s="428"/>
      <c r="K3" s="428"/>
      <c r="L3" s="428"/>
      <c r="M3" s="428"/>
      <c r="N3" s="428"/>
      <c r="O3" s="428"/>
    </row>
    <row r="4" spans="1:16" s="148" customFormat="1" ht="23.5" customHeight="1" thickBot="1" x14ac:dyDescent="0.25">
      <c r="A4" s="143" t="s">
        <v>199</v>
      </c>
      <c r="B4" s="144" t="s">
        <v>200</v>
      </c>
      <c r="C4" s="144" t="s">
        <v>201</v>
      </c>
      <c r="D4" s="200" t="s">
        <v>235</v>
      </c>
      <c r="E4" s="199" t="s">
        <v>236</v>
      </c>
      <c r="F4" s="145" t="s">
        <v>228</v>
      </c>
      <c r="G4" s="145" t="s">
        <v>202</v>
      </c>
      <c r="H4" s="145" t="s">
        <v>257</v>
      </c>
      <c r="I4" s="145" t="s">
        <v>203</v>
      </c>
      <c r="J4" s="145" t="s">
        <v>204</v>
      </c>
      <c r="K4" s="145" t="s">
        <v>205</v>
      </c>
      <c r="L4" s="145" t="s">
        <v>206</v>
      </c>
      <c r="M4" s="145" t="s">
        <v>207</v>
      </c>
      <c r="N4" s="145" t="s">
        <v>208</v>
      </c>
      <c r="O4" s="146" t="s">
        <v>209</v>
      </c>
      <c r="P4" s="147" t="s">
        <v>210</v>
      </c>
    </row>
    <row r="5" spans="1:16" s="151" customFormat="1" ht="30" customHeight="1" x14ac:dyDescent="0.2">
      <c r="A5" s="435" t="s">
        <v>233</v>
      </c>
      <c r="B5" s="432" t="s">
        <v>222</v>
      </c>
      <c r="C5" s="150" t="s">
        <v>216</v>
      </c>
      <c r="D5" s="442"/>
      <c r="E5" s="442"/>
      <c r="F5" s="113">
        <v>1296</v>
      </c>
      <c r="G5" s="113">
        <v>1884</v>
      </c>
      <c r="H5" s="114">
        <v>2040</v>
      </c>
      <c r="I5" s="114">
        <v>2091</v>
      </c>
      <c r="J5" s="108">
        <v>2181</v>
      </c>
      <c r="K5" s="108">
        <v>1862</v>
      </c>
      <c r="L5" s="108">
        <v>2278</v>
      </c>
      <c r="M5" s="108">
        <v>1934</v>
      </c>
      <c r="N5" s="154">
        <v>1614</v>
      </c>
      <c r="O5" s="115">
        <v>1873</v>
      </c>
      <c r="P5" s="176">
        <f t="shared" ref="P5:P28" si="0">SUM(D5:O5)</f>
        <v>19053</v>
      </c>
    </row>
    <row r="6" spans="1:16" s="151" customFormat="1" ht="30" customHeight="1" x14ac:dyDescent="0.2">
      <c r="A6" s="436"/>
      <c r="B6" s="433"/>
      <c r="C6" s="150" t="s">
        <v>212</v>
      </c>
      <c r="D6" s="443"/>
      <c r="E6" s="443"/>
      <c r="F6" s="117">
        <v>491336050</v>
      </c>
      <c r="G6" s="117">
        <v>701137000</v>
      </c>
      <c r="H6" s="179">
        <v>771668895</v>
      </c>
      <c r="I6" s="116">
        <v>795332303</v>
      </c>
      <c r="J6" s="116">
        <v>819718848</v>
      </c>
      <c r="K6" s="116">
        <v>664502914</v>
      </c>
      <c r="L6" s="116">
        <v>852540557</v>
      </c>
      <c r="M6" s="116">
        <v>699874922</v>
      </c>
      <c r="N6" s="117">
        <v>601849326</v>
      </c>
      <c r="O6" s="118">
        <v>691978180</v>
      </c>
      <c r="P6" s="155">
        <f t="shared" si="0"/>
        <v>7089938995</v>
      </c>
    </row>
    <row r="7" spans="1:16" s="151" customFormat="1" ht="30" customHeight="1" x14ac:dyDescent="0.2">
      <c r="A7" s="436"/>
      <c r="B7" s="433"/>
      <c r="C7" s="152" t="s">
        <v>213</v>
      </c>
      <c r="D7" s="444"/>
      <c r="E7" s="444"/>
      <c r="F7" s="109">
        <v>18806.400000000001</v>
      </c>
      <c r="G7" s="177">
        <v>26709</v>
      </c>
      <c r="H7" s="109">
        <v>29232.5</v>
      </c>
      <c r="I7" s="109">
        <v>30180.1</v>
      </c>
      <c r="J7" s="109">
        <v>31137.599999999999</v>
      </c>
      <c r="K7" s="109">
        <v>25180.7</v>
      </c>
      <c r="L7" s="109">
        <v>32447.9</v>
      </c>
      <c r="M7" s="109">
        <v>26939.200000000001</v>
      </c>
      <c r="N7" s="109">
        <v>23001.8</v>
      </c>
      <c r="O7" s="109">
        <v>26266.799999999999</v>
      </c>
      <c r="P7" s="140">
        <f t="shared" si="0"/>
        <v>269902</v>
      </c>
    </row>
    <row r="8" spans="1:16" s="151" customFormat="1" ht="30" customHeight="1" x14ac:dyDescent="0.2">
      <c r="A8" s="436"/>
      <c r="B8" s="433"/>
      <c r="C8" s="152" t="s">
        <v>211</v>
      </c>
      <c r="D8" s="445"/>
      <c r="E8" s="445"/>
      <c r="F8" s="112">
        <v>2772767</v>
      </c>
      <c r="G8" s="112">
        <v>3937656</v>
      </c>
      <c r="H8" s="112">
        <v>4308567</v>
      </c>
      <c r="I8" s="112">
        <v>4565064</v>
      </c>
      <c r="J8" s="112">
        <v>4777346</v>
      </c>
      <c r="K8" s="112">
        <v>3924275</v>
      </c>
      <c r="L8" s="112">
        <v>5080852</v>
      </c>
      <c r="M8" s="112">
        <v>4170268</v>
      </c>
      <c r="N8" s="112">
        <v>3612203</v>
      </c>
      <c r="O8" s="112">
        <v>4188336</v>
      </c>
      <c r="P8" s="107">
        <f>SUM(D8:O8)</f>
        <v>41337334</v>
      </c>
    </row>
    <row r="9" spans="1:16" s="151" customFormat="1" ht="30" customHeight="1" thickBot="1" x14ac:dyDescent="0.25">
      <c r="A9" s="436"/>
      <c r="B9" s="434"/>
      <c r="C9" s="193" t="s">
        <v>221</v>
      </c>
      <c r="D9" s="446"/>
      <c r="E9" s="446"/>
      <c r="F9" s="194">
        <f t="shared" ref="F9:O9" si="1">F7*3%</f>
        <v>564.19200000000001</v>
      </c>
      <c r="G9" s="194">
        <f t="shared" si="1"/>
        <v>801.27</v>
      </c>
      <c r="H9" s="194">
        <f t="shared" si="1"/>
        <v>876.97500000000002</v>
      </c>
      <c r="I9" s="194">
        <f t="shared" si="1"/>
        <v>905.40299999999991</v>
      </c>
      <c r="J9" s="194">
        <f t="shared" si="1"/>
        <v>934.12799999999993</v>
      </c>
      <c r="K9" s="194">
        <f t="shared" si="1"/>
        <v>755.42100000000005</v>
      </c>
      <c r="L9" s="194">
        <f t="shared" si="1"/>
        <v>973.43700000000001</v>
      </c>
      <c r="M9" s="194">
        <f t="shared" si="1"/>
        <v>808.17600000000004</v>
      </c>
      <c r="N9" s="194">
        <v>750</v>
      </c>
      <c r="O9" s="194">
        <f t="shared" si="1"/>
        <v>788.00399999999991</v>
      </c>
      <c r="P9" s="195">
        <f t="shared" si="0"/>
        <v>8157.0060000000003</v>
      </c>
    </row>
    <row r="10" spans="1:16" s="151" customFormat="1" ht="30" customHeight="1" x14ac:dyDescent="0.2">
      <c r="A10" s="436"/>
      <c r="B10" s="432" t="s">
        <v>223</v>
      </c>
      <c r="C10" s="149" t="s">
        <v>216</v>
      </c>
      <c r="D10" s="203">
        <v>2012</v>
      </c>
      <c r="E10" s="232">
        <v>1976</v>
      </c>
      <c r="F10" s="163">
        <v>1681</v>
      </c>
      <c r="G10" s="163">
        <v>1683</v>
      </c>
      <c r="H10" s="119">
        <v>1650</v>
      </c>
      <c r="I10" s="163">
        <v>1584</v>
      </c>
      <c r="J10" s="163">
        <v>1584</v>
      </c>
      <c r="K10" s="163">
        <v>1389</v>
      </c>
      <c r="L10" s="119">
        <v>1668</v>
      </c>
      <c r="M10" s="163">
        <v>1433</v>
      </c>
      <c r="N10" s="422">
        <v>1149</v>
      </c>
      <c r="O10" s="163">
        <v>1347</v>
      </c>
      <c r="P10" s="176">
        <f t="shared" si="0"/>
        <v>19156</v>
      </c>
    </row>
    <row r="11" spans="1:16" s="151" customFormat="1" ht="30" customHeight="1" x14ac:dyDescent="0.2">
      <c r="A11" s="436"/>
      <c r="B11" s="433"/>
      <c r="C11" s="152" t="s">
        <v>212</v>
      </c>
      <c r="D11" s="204">
        <v>756268050</v>
      </c>
      <c r="E11" s="204">
        <v>727023545</v>
      </c>
      <c r="F11" s="156">
        <v>622981800</v>
      </c>
      <c r="G11" s="237">
        <v>595352200</v>
      </c>
      <c r="H11" s="237">
        <v>571768050</v>
      </c>
      <c r="I11" s="237">
        <v>580536023</v>
      </c>
      <c r="J11" s="237">
        <v>577826734</v>
      </c>
      <c r="K11" s="156">
        <v>487381903</v>
      </c>
      <c r="L11" s="237">
        <v>601195500</v>
      </c>
      <c r="M11" s="156">
        <v>558048100</v>
      </c>
      <c r="N11" s="237">
        <v>463658102</v>
      </c>
      <c r="O11" s="156">
        <v>517491700</v>
      </c>
      <c r="P11" s="155">
        <f t="shared" si="0"/>
        <v>7059531707</v>
      </c>
    </row>
    <row r="12" spans="1:16" s="151" customFormat="1" ht="30" customHeight="1" x14ac:dyDescent="0.2">
      <c r="A12" s="436"/>
      <c r="B12" s="433"/>
      <c r="C12" s="152" t="s">
        <v>213</v>
      </c>
      <c r="D12" s="205">
        <v>29111.599999999999</v>
      </c>
      <c r="E12" s="235">
        <v>27894.2</v>
      </c>
      <c r="F12" s="164">
        <v>23845.3</v>
      </c>
      <c r="G12" s="164">
        <v>22679.3</v>
      </c>
      <c r="H12" s="164">
        <v>21659.8</v>
      </c>
      <c r="I12" s="180">
        <v>22029.3</v>
      </c>
      <c r="J12" s="180">
        <v>21949.200000000001</v>
      </c>
      <c r="K12" s="180">
        <v>18468.8</v>
      </c>
      <c r="L12" s="109">
        <v>22881.599999999999</v>
      </c>
      <c r="M12" s="164">
        <v>21480.1</v>
      </c>
      <c r="N12" s="109">
        <v>17720.3</v>
      </c>
      <c r="O12" s="109">
        <v>19643.5</v>
      </c>
      <c r="P12" s="140">
        <f t="shared" si="0"/>
        <v>269363</v>
      </c>
    </row>
    <row r="13" spans="1:16" s="151" customFormat="1" ht="30" customHeight="1" x14ac:dyDescent="0.2">
      <c r="A13" s="436"/>
      <c r="B13" s="433"/>
      <c r="C13" s="152" t="s">
        <v>211</v>
      </c>
      <c r="D13" s="206">
        <v>4294566</v>
      </c>
      <c r="E13" s="234">
        <v>4039743</v>
      </c>
      <c r="F13" s="165">
        <v>3515686</v>
      </c>
      <c r="G13" s="178">
        <v>3343557</v>
      </c>
      <c r="H13" s="178">
        <v>3192433</v>
      </c>
      <c r="I13" s="181">
        <v>3332172</v>
      </c>
      <c r="J13" s="181">
        <v>3367592</v>
      </c>
      <c r="K13" s="181">
        <v>2878273</v>
      </c>
      <c r="L13" s="181">
        <v>3582921</v>
      </c>
      <c r="M13" s="178">
        <v>3325180</v>
      </c>
      <c r="N13" s="112">
        <v>2782802</v>
      </c>
      <c r="O13" s="198">
        <v>3132222</v>
      </c>
      <c r="P13" s="107">
        <f t="shared" si="0"/>
        <v>40787147</v>
      </c>
    </row>
    <row r="14" spans="1:16" s="151" customFormat="1" ht="30" customHeight="1" thickBot="1" x14ac:dyDescent="0.25">
      <c r="A14" s="437"/>
      <c r="B14" s="434"/>
      <c r="C14" s="193" t="s">
        <v>221</v>
      </c>
      <c r="D14" s="253">
        <f>D12*3%</f>
        <v>873.34799999999996</v>
      </c>
      <c r="E14" s="253">
        <f>E12*3%</f>
        <v>836.82600000000002</v>
      </c>
      <c r="F14" s="253">
        <v>750</v>
      </c>
      <c r="G14" s="253">
        <v>750</v>
      </c>
      <c r="H14" s="253">
        <v>750</v>
      </c>
      <c r="I14" s="253">
        <v>750</v>
      </c>
      <c r="J14" s="253">
        <v>750</v>
      </c>
      <c r="K14" s="253">
        <v>750</v>
      </c>
      <c r="L14" s="386">
        <v>750</v>
      </c>
      <c r="M14" s="386">
        <v>750</v>
      </c>
      <c r="N14" s="386">
        <v>750</v>
      </c>
      <c r="O14" s="386">
        <v>750</v>
      </c>
      <c r="P14" s="195">
        <f t="shared" si="0"/>
        <v>9210.1739999999991</v>
      </c>
    </row>
    <row r="15" spans="1:16" s="151" customFormat="1" ht="30" customHeight="1" x14ac:dyDescent="0.2">
      <c r="A15" s="429" t="s">
        <v>234</v>
      </c>
      <c r="B15" s="425" t="s">
        <v>443</v>
      </c>
      <c r="C15" s="149" t="s">
        <v>216</v>
      </c>
      <c r="D15" s="203">
        <v>2358</v>
      </c>
      <c r="E15" s="232">
        <v>3089</v>
      </c>
      <c r="F15" s="161">
        <v>2867</v>
      </c>
      <c r="G15" s="161">
        <v>3256</v>
      </c>
      <c r="H15" s="108">
        <v>3507</v>
      </c>
      <c r="I15" s="161">
        <v>2829</v>
      </c>
      <c r="J15" s="161">
        <v>3290</v>
      </c>
      <c r="K15" s="161">
        <v>2283</v>
      </c>
      <c r="L15" s="161">
        <v>3152</v>
      </c>
      <c r="M15" s="161">
        <v>2836</v>
      </c>
      <c r="N15" s="161">
        <v>5048</v>
      </c>
      <c r="O15" s="161">
        <v>2371</v>
      </c>
      <c r="P15" s="182">
        <f t="shared" si="0"/>
        <v>36886</v>
      </c>
    </row>
    <row r="16" spans="1:16" s="151" customFormat="1" ht="30" customHeight="1" x14ac:dyDescent="0.2">
      <c r="A16" s="430"/>
      <c r="B16" s="426"/>
      <c r="C16" s="150" t="s">
        <v>215</v>
      </c>
      <c r="D16" s="214">
        <v>1285539</v>
      </c>
      <c r="E16" s="214">
        <v>1765566</v>
      </c>
      <c r="F16" s="236">
        <v>1520175</v>
      </c>
      <c r="G16" s="236">
        <v>1800655</v>
      </c>
      <c r="H16" s="236">
        <v>1969955</v>
      </c>
      <c r="I16" s="236">
        <v>1520645</v>
      </c>
      <c r="J16" s="236">
        <v>2052256</v>
      </c>
      <c r="K16" s="236">
        <v>1573276</v>
      </c>
      <c r="L16" s="236">
        <v>1510285</v>
      </c>
      <c r="M16" s="236">
        <v>1403269</v>
      </c>
      <c r="N16" s="236">
        <v>2203137</v>
      </c>
      <c r="O16" s="236">
        <v>1122838</v>
      </c>
      <c r="P16" s="139">
        <f t="shared" si="0"/>
        <v>19727596</v>
      </c>
    </row>
    <row r="17" spans="1:16" s="151" customFormat="1" ht="30" customHeight="1" x14ac:dyDescent="0.2">
      <c r="A17" s="430"/>
      <c r="B17" s="426"/>
      <c r="C17" s="152" t="s">
        <v>213</v>
      </c>
      <c r="D17" s="205">
        <v>42326.6</v>
      </c>
      <c r="E17" s="205">
        <v>58909</v>
      </c>
      <c r="F17" s="162">
        <v>52306.8</v>
      </c>
      <c r="G17" s="109">
        <v>60124.6</v>
      </c>
      <c r="H17" s="109">
        <v>64912.800000000003</v>
      </c>
      <c r="I17" s="109">
        <v>49652.6</v>
      </c>
      <c r="J17" s="109">
        <v>66346.8</v>
      </c>
      <c r="K17" s="109">
        <v>50230</v>
      </c>
      <c r="L17" s="109">
        <v>47977.4</v>
      </c>
      <c r="M17" s="109">
        <v>44418</v>
      </c>
      <c r="N17" s="109">
        <v>69497.7</v>
      </c>
      <c r="O17" s="109">
        <v>35337.4</v>
      </c>
      <c r="P17" s="140">
        <f t="shared" si="0"/>
        <v>642039.70000000007</v>
      </c>
    </row>
    <row r="18" spans="1:16" s="151" customFormat="1" ht="30" customHeight="1" x14ac:dyDescent="0.2">
      <c r="A18" s="430"/>
      <c r="B18" s="426"/>
      <c r="C18" s="152" t="s">
        <v>211</v>
      </c>
      <c r="D18" s="211">
        <v>6244043</v>
      </c>
      <c r="E18" s="233">
        <v>8531427</v>
      </c>
      <c r="F18" s="110">
        <v>7607883</v>
      </c>
      <c r="G18" s="110">
        <v>8864048</v>
      </c>
      <c r="H18" s="110">
        <v>9549534</v>
      </c>
      <c r="I18" s="110">
        <v>7510496</v>
      </c>
      <c r="J18" s="110">
        <v>10201518</v>
      </c>
      <c r="K18" s="110">
        <v>7807539</v>
      </c>
      <c r="L18" s="110">
        <v>7512535</v>
      </c>
      <c r="M18" s="110">
        <v>6914145</v>
      </c>
      <c r="N18" s="110">
        <v>10929102</v>
      </c>
      <c r="O18" s="110">
        <v>5639746</v>
      </c>
      <c r="P18" s="107">
        <f t="shared" si="0"/>
        <v>97312016</v>
      </c>
    </row>
    <row r="19" spans="1:16" s="151" customFormat="1" ht="39" customHeight="1" thickBot="1" x14ac:dyDescent="0.25">
      <c r="A19" s="431"/>
      <c r="B19" s="427"/>
      <c r="C19" s="193" t="s">
        <v>243</v>
      </c>
      <c r="D19" s="207">
        <f t="shared" ref="D19:J19" si="2">D17*3%</f>
        <v>1269.798</v>
      </c>
      <c r="E19" s="207">
        <f t="shared" si="2"/>
        <v>1767.27</v>
      </c>
      <c r="F19" s="207">
        <f t="shared" si="2"/>
        <v>1569.204</v>
      </c>
      <c r="G19" s="207">
        <f t="shared" si="2"/>
        <v>1803.7379999999998</v>
      </c>
      <c r="H19" s="207">
        <f t="shared" si="2"/>
        <v>1947.384</v>
      </c>
      <c r="I19" s="207">
        <f t="shared" si="2"/>
        <v>1489.578</v>
      </c>
      <c r="J19" s="207">
        <f t="shared" si="2"/>
        <v>1990.404</v>
      </c>
      <c r="K19" s="207">
        <f>K17*3%</f>
        <v>1506.8999999999999</v>
      </c>
      <c r="L19" s="207">
        <f>L17*3%</f>
        <v>1439.3219999999999</v>
      </c>
      <c r="M19" s="207">
        <f>M17*3%</f>
        <v>1332.54</v>
      </c>
      <c r="N19" s="207">
        <f>N17*3%</f>
        <v>2084.931</v>
      </c>
      <c r="O19" s="207">
        <f>O17*3%</f>
        <v>1060.1220000000001</v>
      </c>
      <c r="P19" s="195">
        <f t="shared" si="0"/>
        <v>19261.190999999999</v>
      </c>
    </row>
    <row r="20" spans="1:16" s="151" customFormat="1" ht="30" customHeight="1" x14ac:dyDescent="0.2">
      <c r="A20" s="425" t="s">
        <v>273</v>
      </c>
      <c r="B20" s="425" t="s">
        <v>271</v>
      </c>
      <c r="C20" s="149" t="s">
        <v>216</v>
      </c>
      <c r="D20" s="203">
        <v>2797</v>
      </c>
      <c r="E20" s="232">
        <v>2480</v>
      </c>
      <c r="F20" s="119">
        <v>3231</v>
      </c>
      <c r="G20" s="119">
        <v>3614</v>
      </c>
      <c r="H20" s="119">
        <v>4285</v>
      </c>
      <c r="I20" s="119">
        <v>2694</v>
      </c>
      <c r="J20" s="119">
        <v>2636</v>
      </c>
      <c r="K20" s="119">
        <v>2594</v>
      </c>
      <c r="L20" s="119">
        <v>2617</v>
      </c>
      <c r="M20" s="119">
        <v>2623</v>
      </c>
      <c r="N20" s="119">
        <v>3205</v>
      </c>
      <c r="O20" s="119">
        <v>3088</v>
      </c>
      <c r="P20" s="157">
        <f t="shared" si="0"/>
        <v>35864</v>
      </c>
    </row>
    <row r="21" spans="1:16" s="151" customFormat="1" ht="30" customHeight="1" x14ac:dyDescent="0.2">
      <c r="A21" s="426"/>
      <c r="B21" s="426"/>
      <c r="C21" s="150" t="s">
        <v>214</v>
      </c>
      <c r="D21" s="208">
        <v>400591.56</v>
      </c>
      <c r="E21" s="208">
        <v>418706.4</v>
      </c>
      <c r="F21" s="121">
        <v>500431.25</v>
      </c>
      <c r="G21" s="121">
        <v>550591.54</v>
      </c>
      <c r="H21" s="121">
        <v>685657.76</v>
      </c>
      <c r="I21" s="122">
        <v>399442.62</v>
      </c>
      <c r="J21" s="120">
        <v>462994.24</v>
      </c>
      <c r="K21" s="120">
        <v>433260</v>
      </c>
      <c r="L21" s="123">
        <v>435961.92</v>
      </c>
      <c r="M21" s="123">
        <v>439107.75</v>
      </c>
      <c r="N21" s="123">
        <v>496639.3</v>
      </c>
      <c r="O21" s="123">
        <v>411158.11</v>
      </c>
      <c r="P21" s="158">
        <f t="shared" si="0"/>
        <v>5634542.4500000002</v>
      </c>
    </row>
    <row r="22" spans="1:16" s="151" customFormat="1" ht="30" customHeight="1" x14ac:dyDescent="0.2">
      <c r="A22" s="426"/>
      <c r="B22" s="426"/>
      <c r="C22" s="159" t="s">
        <v>211</v>
      </c>
      <c r="D22" s="252">
        <f>D21*19.91</f>
        <v>7975777.9595999997</v>
      </c>
      <c r="E22" s="252">
        <f>E21*20.31</f>
        <v>8503926.9839999992</v>
      </c>
      <c r="F22" s="252">
        <f>F21*20.49</f>
        <v>10253836.3125</v>
      </c>
      <c r="G22" s="252">
        <f>G21*21.03</f>
        <v>11578940.086200001</v>
      </c>
      <c r="H22" s="252">
        <f>H21*20.93</f>
        <v>14350816.9168</v>
      </c>
      <c r="I22" s="252">
        <f>I21*21.18</f>
        <v>8460194.6916000005</v>
      </c>
      <c r="J22" s="252">
        <f>J21*21.97</f>
        <v>10171983.4528</v>
      </c>
      <c r="K22" s="252">
        <f>K21*22.43</f>
        <v>9718021.8000000007</v>
      </c>
      <c r="L22" s="111">
        <v>9765113</v>
      </c>
      <c r="M22" s="252">
        <f>M21*22.41</f>
        <v>9840404.6775000002</v>
      </c>
      <c r="N22" s="252">
        <f>N21*23.01</f>
        <v>11427670.293</v>
      </c>
      <c r="O22" s="252">
        <f>O21*23.41</f>
        <v>9625211.3551000003</v>
      </c>
      <c r="P22" s="183">
        <f t="shared" si="0"/>
        <v>121671897.5291</v>
      </c>
    </row>
    <row r="23" spans="1:16" s="151" customFormat="1" ht="30" customHeight="1" thickBot="1" x14ac:dyDescent="0.25">
      <c r="A23" s="427"/>
      <c r="B23" s="427"/>
      <c r="C23" s="196" t="s">
        <v>220</v>
      </c>
      <c r="D23" s="210">
        <f t="shared" ref="D23:O23" si="3">D22*3%</f>
        <v>239273.33878799999</v>
      </c>
      <c r="E23" s="210">
        <f t="shared" si="3"/>
        <v>255117.80951999998</v>
      </c>
      <c r="F23" s="210">
        <f t="shared" si="3"/>
        <v>307615.08937499998</v>
      </c>
      <c r="G23" s="210">
        <f t="shared" si="3"/>
        <v>347368.20258600003</v>
      </c>
      <c r="H23" s="210">
        <f t="shared" si="3"/>
        <v>430524.50750399998</v>
      </c>
      <c r="I23" s="210">
        <f t="shared" si="3"/>
        <v>253805.84074800002</v>
      </c>
      <c r="J23" s="210">
        <f t="shared" si="3"/>
        <v>305159.50358399999</v>
      </c>
      <c r="K23" s="210">
        <f t="shared" si="3"/>
        <v>291540.65400000004</v>
      </c>
      <c r="L23" s="210">
        <f t="shared" si="3"/>
        <v>292953.39</v>
      </c>
      <c r="M23" s="210">
        <f t="shared" si="3"/>
        <v>295212.14032499999</v>
      </c>
      <c r="N23" s="210">
        <f t="shared" si="3"/>
        <v>342830.10878999997</v>
      </c>
      <c r="O23" s="210">
        <f t="shared" si="3"/>
        <v>288756.34065299999</v>
      </c>
      <c r="P23" s="197">
        <f t="shared" si="0"/>
        <v>3650156.9258729997</v>
      </c>
    </row>
    <row r="24" spans="1:16" s="151" customFormat="1" ht="30" customHeight="1" x14ac:dyDescent="0.2">
      <c r="A24" s="429" t="s">
        <v>272</v>
      </c>
      <c r="B24" s="425" t="s">
        <v>270</v>
      </c>
      <c r="C24" s="149" t="s">
        <v>217</v>
      </c>
      <c r="D24" s="223">
        <v>909722.73</v>
      </c>
      <c r="E24" s="223">
        <v>960713.84</v>
      </c>
      <c r="F24" s="160">
        <v>948179.57</v>
      </c>
      <c r="G24" s="160">
        <v>937102.8</v>
      </c>
      <c r="H24" s="160">
        <v>935855.57</v>
      </c>
      <c r="I24" s="160">
        <v>768918.47</v>
      </c>
      <c r="J24" s="249">
        <v>857081.57</v>
      </c>
      <c r="K24" s="160">
        <v>870932.47</v>
      </c>
      <c r="L24" s="160">
        <v>967585.01</v>
      </c>
      <c r="M24" s="160">
        <v>861432.5</v>
      </c>
      <c r="N24" s="160">
        <v>739325.92</v>
      </c>
      <c r="O24" s="249">
        <v>778380.80000000005</v>
      </c>
      <c r="P24" s="449">
        <f t="shared" si="0"/>
        <v>10535231.25</v>
      </c>
    </row>
    <row r="25" spans="1:16" s="151" customFormat="1" ht="31.5" customHeight="1" x14ac:dyDescent="0.2">
      <c r="A25" s="430"/>
      <c r="B25" s="426"/>
      <c r="C25" s="153" t="s">
        <v>211</v>
      </c>
      <c r="D25" s="222">
        <f>D24*2.71</f>
        <v>2465348.5982999997</v>
      </c>
      <c r="E25" s="222">
        <f>E24*2.75</f>
        <v>2641963.06</v>
      </c>
      <c r="F25" s="222">
        <v>2434072</v>
      </c>
      <c r="G25" s="209">
        <v>2402497</v>
      </c>
      <c r="H25" s="209">
        <v>2416398</v>
      </c>
      <c r="I25" s="209">
        <v>1999273</v>
      </c>
      <c r="J25" s="222">
        <v>2245074</v>
      </c>
      <c r="K25" s="209">
        <v>2315827</v>
      </c>
      <c r="L25" s="209">
        <v>2589335</v>
      </c>
      <c r="M25" s="222">
        <f>M24*2.76</f>
        <v>2377553.6999999997</v>
      </c>
      <c r="N25" s="222">
        <v>1986754</v>
      </c>
      <c r="O25" s="222">
        <v>2070944</v>
      </c>
      <c r="P25" s="106">
        <f t="shared" si="0"/>
        <v>27945039.358299997</v>
      </c>
    </row>
    <row r="26" spans="1:16" s="151" customFormat="1" ht="38.5" customHeight="1" thickBot="1" x14ac:dyDescent="0.25">
      <c r="A26" s="431"/>
      <c r="B26" s="426"/>
      <c r="C26" s="153" t="s">
        <v>252</v>
      </c>
      <c r="D26" s="224">
        <f>D25*3%</f>
        <v>73960.457948999989</v>
      </c>
      <c r="E26" s="224">
        <f>E25*3%</f>
        <v>79258.891799999998</v>
      </c>
      <c r="F26" s="224">
        <f>F25*3%</f>
        <v>73022.16</v>
      </c>
      <c r="G26" s="224">
        <f>G25*3%</f>
        <v>72074.91</v>
      </c>
      <c r="H26" s="224">
        <f>H25*3%</f>
        <v>72491.94</v>
      </c>
      <c r="I26" s="224">
        <v>70000</v>
      </c>
      <c r="J26" s="224">
        <v>70000</v>
      </c>
      <c r="K26" s="224">
        <v>70000</v>
      </c>
      <c r="L26" s="224">
        <f>L25*3%</f>
        <v>77680.05</v>
      </c>
      <c r="M26" s="224">
        <f>M25*3%</f>
        <v>71326.61099999999</v>
      </c>
      <c r="N26" s="224">
        <v>70000</v>
      </c>
      <c r="O26" s="224">
        <v>70000</v>
      </c>
      <c r="P26" s="184">
        <f t="shared" si="0"/>
        <v>869815.02074900013</v>
      </c>
    </row>
    <row r="27" spans="1:16" s="151" customFormat="1" ht="38.5" customHeight="1" x14ac:dyDescent="0.2">
      <c r="A27" s="429" t="s">
        <v>433</v>
      </c>
      <c r="B27" s="425" t="s">
        <v>242</v>
      </c>
      <c r="C27" s="149" t="s">
        <v>251</v>
      </c>
      <c r="D27" s="229">
        <v>3863.5</v>
      </c>
      <c r="E27" s="229">
        <v>5170.5</v>
      </c>
      <c r="F27" s="119">
        <v>4164</v>
      </c>
      <c r="G27" s="119">
        <v>3625</v>
      </c>
      <c r="H27" s="119">
        <v>4890.5</v>
      </c>
      <c r="I27" s="119">
        <v>3776.5</v>
      </c>
      <c r="J27" s="119">
        <v>3898</v>
      </c>
      <c r="K27" s="119">
        <v>3354</v>
      </c>
      <c r="L27" s="119">
        <v>4591</v>
      </c>
      <c r="M27" s="119">
        <v>4961</v>
      </c>
      <c r="N27" s="119">
        <v>3978</v>
      </c>
      <c r="O27" s="119">
        <v>3821</v>
      </c>
      <c r="P27" s="157">
        <f t="shared" si="0"/>
        <v>50093</v>
      </c>
    </row>
    <row r="28" spans="1:16" s="151" customFormat="1" ht="30" customHeight="1" x14ac:dyDescent="0.2">
      <c r="A28" s="430"/>
      <c r="B28" s="426"/>
      <c r="C28" s="150" t="s">
        <v>241</v>
      </c>
      <c r="D28" s="228">
        <v>76422722</v>
      </c>
      <c r="E28" s="260">
        <v>105188639</v>
      </c>
      <c r="F28" s="260">
        <v>85455359</v>
      </c>
      <c r="G28" s="230">
        <v>70191076</v>
      </c>
      <c r="H28" s="230">
        <v>95593528</v>
      </c>
      <c r="I28" s="230">
        <v>74325789</v>
      </c>
      <c r="J28" s="230">
        <v>79230000</v>
      </c>
      <c r="K28" s="230">
        <v>67976000</v>
      </c>
      <c r="L28" s="230">
        <v>90613000</v>
      </c>
      <c r="M28" s="230">
        <v>90882396</v>
      </c>
      <c r="N28" s="230">
        <v>80754240</v>
      </c>
      <c r="O28" s="230">
        <v>78545994</v>
      </c>
      <c r="P28" s="225">
        <f t="shared" si="0"/>
        <v>995178743</v>
      </c>
    </row>
    <row r="29" spans="1:16" s="151" customFormat="1" ht="30" customHeight="1" x14ac:dyDescent="0.2">
      <c r="A29" s="430"/>
      <c r="B29" s="426"/>
      <c r="C29" s="159" t="s">
        <v>211</v>
      </c>
      <c r="D29" s="226">
        <f>D28*0.1021</f>
        <v>7802759.9161999999</v>
      </c>
      <c r="E29" s="226">
        <f>E28*0.1071</f>
        <v>11265703.2369</v>
      </c>
      <c r="F29" s="226">
        <f>F28*0.1087</f>
        <v>9288997.5232999995</v>
      </c>
      <c r="G29" s="231">
        <f>G28*0.1097</f>
        <v>7699961.0372000001</v>
      </c>
      <c r="H29" s="231">
        <f>H28*0.1082</f>
        <v>10343219.729600001</v>
      </c>
      <c r="I29" s="231">
        <f>I28*0.1083</f>
        <v>8049482.9486999996</v>
      </c>
      <c r="J29" s="231">
        <f>J28*0.1101</f>
        <v>8723223</v>
      </c>
      <c r="K29" s="231">
        <f>K28*0.109</f>
        <v>7409384</v>
      </c>
      <c r="L29" s="231">
        <f>L28*0.114</f>
        <v>10329882</v>
      </c>
      <c r="M29" s="231">
        <f>M28*0.1092</f>
        <v>9924357.6432000007</v>
      </c>
      <c r="N29" s="231">
        <f>N28*0.1108</f>
        <v>8947569.7919999994</v>
      </c>
      <c r="O29" s="231">
        <f>O28*0.1068</f>
        <v>8388712.1591999996</v>
      </c>
      <c r="P29" s="221">
        <f>SUM(D29:O29)</f>
        <v>108173252.98629998</v>
      </c>
    </row>
    <row r="30" spans="1:16" s="151" customFormat="1" ht="38.5" customHeight="1" thickBot="1" x14ac:dyDescent="0.25">
      <c r="A30" s="430"/>
      <c r="B30" s="427"/>
      <c r="C30" s="196" t="s">
        <v>253</v>
      </c>
      <c r="D30" s="227">
        <f t="shared" ref="D30:O30" si="4">D29*3%</f>
        <v>234082.797486</v>
      </c>
      <c r="E30" s="227">
        <f t="shared" si="4"/>
        <v>337971.09710700001</v>
      </c>
      <c r="F30" s="227">
        <f t="shared" si="4"/>
        <v>278669.92569899996</v>
      </c>
      <c r="G30" s="227">
        <f t="shared" si="4"/>
        <v>230998.83111599999</v>
      </c>
      <c r="H30" s="227">
        <f t="shared" si="4"/>
        <v>310296.59188800002</v>
      </c>
      <c r="I30" s="227">
        <f t="shared" si="4"/>
        <v>241484.48846099997</v>
      </c>
      <c r="J30" s="227">
        <f t="shared" si="4"/>
        <v>261696.69</v>
      </c>
      <c r="K30" s="227">
        <f t="shared" si="4"/>
        <v>222281.52</v>
      </c>
      <c r="L30" s="227">
        <f t="shared" si="4"/>
        <v>309896.45999999996</v>
      </c>
      <c r="M30" s="227">
        <v>226933</v>
      </c>
      <c r="N30" s="227">
        <f t="shared" si="4"/>
        <v>268427.09375999996</v>
      </c>
      <c r="O30" s="227">
        <f t="shared" si="4"/>
        <v>251661.36477599997</v>
      </c>
      <c r="P30" s="197">
        <f>SUM(D30:O30)</f>
        <v>3174399.8602929995</v>
      </c>
    </row>
    <row r="31" spans="1:16" s="151" customFormat="1" ht="38.5" customHeight="1" x14ac:dyDescent="0.2">
      <c r="A31" s="430"/>
      <c r="B31" s="426" t="s">
        <v>445</v>
      </c>
      <c r="C31" s="261" t="s">
        <v>251</v>
      </c>
      <c r="D31" s="203">
        <v>1815</v>
      </c>
      <c r="E31" s="203">
        <v>1447</v>
      </c>
      <c r="F31" s="263">
        <v>554</v>
      </c>
      <c r="G31" s="119">
        <v>2165</v>
      </c>
      <c r="H31" s="119">
        <v>1603</v>
      </c>
      <c r="I31" s="119">
        <v>1409</v>
      </c>
      <c r="J31" s="119">
        <v>1102</v>
      </c>
      <c r="K31" s="119">
        <v>1090</v>
      </c>
      <c r="L31" s="119">
        <v>1298</v>
      </c>
      <c r="M31" s="119">
        <v>1255</v>
      </c>
      <c r="N31" s="119">
        <v>764</v>
      </c>
      <c r="O31" s="392"/>
      <c r="P31" s="157">
        <f t="shared" ref="P31" si="5">SUM(D31:O31)</f>
        <v>14502</v>
      </c>
    </row>
    <row r="32" spans="1:16" s="151" customFormat="1" ht="38.5" customHeight="1" x14ac:dyDescent="0.2">
      <c r="A32" s="430"/>
      <c r="B32" s="426"/>
      <c r="C32" s="150" t="s">
        <v>241</v>
      </c>
      <c r="D32" s="228">
        <v>63940122</v>
      </c>
      <c r="E32" s="228">
        <v>49711418</v>
      </c>
      <c r="F32" s="228">
        <v>16067711</v>
      </c>
      <c r="G32" s="238">
        <v>62866534</v>
      </c>
      <c r="H32" s="238">
        <v>55897390</v>
      </c>
      <c r="I32" s="238">
        <v>49991520</v>
      </c>
      <c r="J32" s="238">
        <v>32268920</v>
      </c>
      <c r="K32" s="238">
        <v>30143550</v>
      </c>
      <c r="L32" s="238">
        <v>39712250</v>
      </c>
      <c r="M32" s="238">
        <v>38450200</v>
      </c>
      <c r="N32" s="238">
        <v>20456318</v>
      </c>
      <c r="O32" s="394"/>
      <c r="P32" s="238">
        <f>SUM(D32:O32)</f>
        <v>459505933</v>
      </c>
    </row>
    <row r="33" spans="1:16" s="151" customFormat="1" ht="38.5" customHeight="1" x14ac:dyDescent="0.2">
      <c r="A33" s="430"/>
      <c r="B33" s="426"/>
      <c r="C33" s="159" t="s">
        <v>211</v>
      </c>
      <c r="D33" s="226">
        <f>D32*0.1021</f>
        <v>6528286.4561999999</v>
      </c>
      <c r="E33" s="226">
        <f>E32*0.1071</f>
        <v>5324092.8678000001</v>
      </c>
      <c r="F33" s="226">
        <f>F32*0.1087</f>
        <v>1746560.1857</v>
      </c>
      <c r="G33" s="231">
        <f>G32*0.1097</f>
        <v>6896458.7798000006</v>
      </c>
      <c r="H33" s="231">
        <f>H32*0.1082</f>
        <v>6048097.5980000002</v>
      </c>
      <c r="I33" s="231">
        <f>I32*0.1083</f>
        <v>5414081.6159999995</v>
      </c>
      <c r="J33" s="231">
        <f>J32*0.1101</f>
        <v>3552808.0920000002</v>
      </c>
      <c r="K33" s="231">
        <f>K32*0.109</f>
        <v>3285646.95</v>
      </c>
      <c r="L33" s="231">
        <f>L32*0.114</f>
        <v>4527196.5</v>
      </c>
      <c r="M33" s="231">
        <f>M32*0.1092</f>
        <v>4198761.84</v>
      </c>
      <c r="N33" s="231">
        <f>N32*0.1108</f>
        <v>2266560.0343999998</v>
      </c>
      <c r="O33" s="423"/>
      <c r="P33" s="221">
        <f>SUM(D33:O33)</f>
        <v>49788550.919900015</v>
      </c>
    </row>
    <row r="34" spans="1:16" s="151" customFormat="1" ht="45" customHeight="1" thickBot="1" x14ac:dyDescent="0.25">
      <c r="A34" s="430"/>
      <c r="B34" s="427"/>
      <c r="C34" s="196" t="s">
        <v>399</v>
      </c>
      <c r="D34" s="227">
        <f t="shared" ref="D34:I34" si="6">D33*3%</f>
        <v>195848.59368599998</v>
      </c>
      <c r="E34" s="227">
        <f t="shared" si="6"/>
        <v>159722.78603399999</v>
      </c>
      <c r="F34" s="227">
        <f t="shared" si="6"/>
        <v>52396.805570999997</v>
      </c>
      <c r="G34" s="227">
        <f t="shared" si="6"/>
        <v>206893.76339400001</v>
      </c>
      <c r="H34" s="227">
        <f t="shared" si="6"/>
        <v>181442.92793999999</v>
      </c>
      <c r="I34" s="227">
        <f t="shared" si="6"/>
        <v>162422.44847999999</v>
      </c>
      <c r="J34" s="227">
        <v>150000</v>
      </c>
      <c r="K34" s="227">
        <v>150000</v>
      </c>
      <c r="L34" s="227">
        <v>150000</v>
      </c>
      <c r="M34" s="227">
        <v>150000</v>
      </c>
      <c r="N34" s="227">
        <v>150000</v>
      </c>
      <c r="O34" s="424"/>
      <c r="P34" s="448">
        <f>SUM(D34:O34)</f>
        <v>1708727.3251049998</v>
      </c>
    </row>
    <row r="35" spans="1:16" s="151" customFormat="1" ht="30" customHeight="1" x14ac:dyDescent="0.2">
      <c r="A35" s="430"/>
      <c r="B35" s="426" t="s">
        <v>444</v>
      </c>
      <c r="C35" s="261" t="s">
        <v>251</v>
      </c>
      <c r="D35" s="390"/>
      <c r="E35" s="390"/>
      <c r="F35" s="391"/>
      <c r="G35" s="392"/>
      <c r="H35" s="392"/>
      <c r="I35" s="392"/>
      <c r="J35" s="392"/>
      <c r="K35" s="119">
        <v>136</v>
      </c>
      <c r="L35" s="119">
        <v>1387</v>
      </c>
      <c r="M35" s="119">
        <v>2167</v>
      </c>
      <c r="N35" s="119">
        <v>1476</v>
      </c>
      <c r="O35" s="119">
        <v>1412</v>
      </c>
      <c r="P35" s="447">
        <f>SUM(K35:O35)</f>
        <v>6578</v>
      </c>
    </row>
    <row r="36" spans="1:16" s="151" customFormat="1" ht="30" customHeight="1" x14ac:dyDescent="0.2">
      <c r="A36" s="430"/>
      <c r="B36" s="426"/>
      <c r="C36" s="150" t="s">
        <v>241</v>
      </c>
      <c r="D36" s="393"/>
      <c r="E36" s="393"/>
      <c r="F36" s="393"/>
      <c r="G36" s="394"/>
      <c r="H36" s="394"/>
      <c r="I36" s="394"/>
      <c r="J36" s="394"/>
      <c r="K36" s="238">
        <v>4206700</v>
      </c>
      <c r="L36" s="238">
        <v>43657220</v>
      </c>
      <c r="M36" s="238">
        <v>65014900</v>
      </c>
      <c r="N36" s="238">
        <v>47996348</v>
      </c>
      <c r="O36" s="238">
        <v>42231839</v>
      </c>
      <c r="P36" s="238">
        <f>SUM(K36:O36)</f>
        <v>203107007</v>
      </c>
    </row>
    <row r="37" spans="1:16" s="151" customFormat="1" ht="30" customHeight="1" x14ac:dyDescent="0.2">
      <c r="A37" s="430"/>
      <c r="B37" s="426"/>
      <c r="C37" s="159" t="s">
        <v>211</v>
      </c>
      <c r="D37" s="395"/>
      <c r="E37" s="395"/>
      <c r="F37" s="395"/>
      <c r="G37" s="396"/>
      <c r="H37" s="396"/>
      <c r="I37" s="396"/>
      <c r="J37" s="396"/>
      <c r="K37" s="231">
        <v>479563.8</v>
      </c>
      <c r="L37" s="231">
        <v>4976923.08</v>
      </c>
      <c r="M37" s="112">
        <f>M36*0.1092</f>
        <v>7099627.0800000001</v>
      </c>
      <c r="N37" s="112">
        <f>N36*0.1108</f>
        <v>5317995.3584000003</v>
      </c>
      <c r="O37" s="112">
        <f>O36*0.1068</f>
        <v>4510360.4051999999</v>
      </c>
      <c r="P37" s="221">
        <f>SUM(K37:O37)</f>
        <v>22384469.723600004</v>
      </c>
    </row>
    <row r="38" spans="1:16" s="151" customFormat="1" ht="38.5" customHeight="1" thickBot="1" x14ac:dyDescent="0.25">
      <c r="A38" s="431"/>
      <c r="B38" s="427"/>
      <c r="C38" s="196" t="s">
        <v>458</v>
      </c>
      <c r="D38" s="397"/>
      <c r="E38" s="397"/>
      <c r="F38" s="397"/>
      <c r="G38" s="397"/>
      <c r="H38" s="397"/>
      <c r="I38" s="397"/>
      <c r="J38" s="397"/>
      <c r="K38" s="227">
        <v>14386.913999999999</v>
      </c>
      <c r="L38" s="227">
        <v>149307.6924</v>
      </c>
      <c r="M38" s="219">
        <f>M37*3%</f>
        <v>212988.8124</v>
      </c>
      <c r="N38" s="219">
        <f>N37*3%</f>
        <v>159539.86075200001</v>
      </c>
      <c r="O38" s="219">
        <v>150000</v>
      </c>
      <c r="P38" s="220">
        <f>SUM(K38:O38)</f>
        <v>686223.27955199999</v>
      </c>
    </row>
    <row r="39" spans="1:16" s="151" customFormat="1" ht="30" customHeight="1" x14ac:dyDescent="0.2">
      <c r="A39" s="185"/>
      <c r="B39" s="188"/>
      <c r="C39" s="187" t="s">
        <v>229</v>
      </c>
      <c r="D39" s="212">
        <f t="shared" ref="D39:O39" si="7">D9+D14+D19</f>
        <v>2143.1459999999997</v>
      </c>
      <c r="E39" s="212">
        <f t="shared" si="7"/>
        <v>2604.096</v>
      </c>
      <c r="F39" s="212">
        <f t="shared" si="7"/>
        <v>2883.3959999999997</v>
      </c>
      <c r="G39" s="212">
        <f t="shared" si="7"/>
        <v>3355.0079999999998</v>
      </c>
      <c r="H39" s="212">
        <f t="shared" si="7"/>
        <v>3574.3589999999999</v>
      </c>
      <c r="I39" s="212">
        <f t="shared" si="7"/>
        <v>3144.9809999999998</v>
      </c>
      <c r="J39" s="212">
        <f t="shared" si="7"/>
        <v>3674.5320000000002</v>
      </c>
      <c r="K39" s="212">
        <f t="shared" si="7"/>
        <v>3012.3209999999999</v>
      </c>
      <c r="L39" s="212">
        <f t="shared" si="7"/>
        <v>3162.759</v>
      </c>
      <c r="M39" s="212">
        <f t="shared" si="7"/>
        <v>2890.7159999999999</v>
      </c>
      <c r="N39" s="212">
        <f t="shared" si="7"/>
        <v>3584.931</v>
      </c>
      <c r="O39" s="212">
        <f t="shared" si="7"/>
        <v>2598.1260000000002</v>
      </c>
      <c r="P39" s="218">
        <f>SUM(D39:O39)</f>
        <v>36628.370999999999</v>
      </c>
    </row>
    <row r="40" spans="1:16" s="151" customFormat="1" ht="34.5" customHeight="1" x14ac:dyDescent="0.2">
      <c r="A40" s="186"/>
      <c r="B40" s="189"/>
      <c r="C40" s="190" t="s">
        <v>231</v>
      </c>
      <c r="D40" s="216">
        <f>D39*157.9</f>
        <v>338402.75339999999</v>
      </c>
      <c r="E40" s="216">
        <f>E39*157.74</f>
        <v>410770.10304000002</v>
      </c>
      <c r="F40" s="216">
        <f t="shared" ref="F40:O40" si="8">F39*157.9</f>
        <v>455288.22839999996</v>
      </c>
      <c r="G40" s="216">
        <f t="shared" si="8"/>
        <v>529755.76320000004</v>
      </c>
      <c r="H40" s="216">
        <f t="shared" si="8"/>
        <v>564391.28610000003</v>
      </c>
      <c r="I40" s="216">
        <f t="shared" si="8"/>
        <v>496592.4999</v>
      </c>
      <c r="J40" s="216">
        <f t="shared" si="8"/>
        <v>580208.60279999999</v>
      </c>
      <c r="K40" s="216">
        <f>K39*157.9</f>
        <v>475645.48590000003</v>
      </c>
      <c r="L40" s="216">
        <f t="shared" si="8"/>
        <v>499399.64610000001</v>
      </c>
      <c r="M40" s="216">
        <f t="shared" si="8"/>
        <v>456444.0564</v>
      </c>
      <c r="N40" s="216">
        <f t="shared" si="8"/>
        <v>566060.60490000003</v>
      </c>
      <c r="O40" s="216">
        <f t="shared" si="8"/>
        <v>410244.09540000005</v>
      </c>
      <c r="P40" s="216">
        <f>SUM(D40:O40)</f>
        <v>5783203.1255400004</v>
      </c>
    </row>
    <row r="41" spans="1:16" s="151" customFormat="1" ht="34.5" customHeight="1" thickBot="1" x14ac:dyDescent="0.25">
      <c r="A41" s="191"/>
      <c r="B41" s="189"/>
      <c r="C41" s="5" t="s">
        <v>230</v>
      </c>
      <c r="D41" s="215">
        <f>D23+D26+D30+D38</f>
        <v>547316.59422299999</v>
      </c>
      <c r="E41" s="215">
        <f t="shared" ref="D41:O41" si="9">E23+E26+E30+E38</f>
        <v>672347.79842699994</v>
      </c>
      <c r="F41" s="215">
        <f t="shared" si="9"/>
        <v>659307.17507399991</v>
      </c>
      <c r="G41" s="215">
        <f t="shared" si="9"/>
        <v>650441.94370199996</v>
      </c>
      <c r="H41" s="215">
        <f t="shared" si="9"/>
        <v>813313.03939200006</v>
      </c>
      <c r="I41" s="215">
        <f t="shared" si="9"/>
        <v>565290.32920899999</v>
      </c>
      <c r="J41" s="215">
        <f t="shared" si="9"/>
        <v>636856.19358399999</v>
      </c>
      <c r="K41" s="215">
        <f>K23+K26+K30+K38</f>
        <v>598209.08799999999</v>
      </c>
      <c r="L41" s="215">
        <f t="shared" si="9"/>
        <v>829837.59239999996</v>
      </c>
      <c r="M41" s="215">
        <f t="shared" si="9"/>
        <v>806460.56372500001</v>
      </c>
      <c r="N41" s="215">
        <f t="shared" si="9"/>
        <v>840797.06330199994</v>
      </c>
      <c r="O41" s="215">
        <f t="shared" si="9"/>
        <v>760417.70542899997</v>
      </c>
      <c r="P41" s="215">
        <f>SUM(D41:O41)</f>
        <v>8380595.0864669997</v>
      </c>
    </row>
    <row r="42" spans="1:16" ht="37.5" customHeight="1" thickBot="1" x14ac:dyDescent="0.25">
      <c r="A42" s="438" t="s">
        <v>232</v>
      </c>
      <c r="B42" s="439"/>
      <c r="C42" s="192"/>
      <c r="D42" s="217">
        <f>D40+D41</f>
        <v>885719.34762299992</v>
      </c>
      <c r="E42" s="217">
        <f>E40+E41</f>
        <v>1083117.9014669999</v>
      </c>
      <c r="F42" s="217">
        <f t="shared" ref="F42:O42" si="10">F40+F41</f>
        <v>1114595.4034739998</v>
      </c>
      <c r="G42" s="217">
        <f t="shared" si="10"/>
        <v>1180197.7069020001</v>
      </c>
      <c r="H42" s="217">
        <f t="shared" si="10"/>
        <v>1377704.3254920002</v>
      </c>
      <c r="I42" s="217">
        <f t="shared" si="10"/>
        <v>1061882.829109</v>
      </c>
      <c r="J42" s="217">
        <f t="shared" si="10"/>
        <v>1217064.796384</v>
      </c>
      <c r="K42" s="217">
        <f t="shared" si="10"/>
        <v>1073854.5739</v>
      </c>
      <c r="L42" s="217">
        <f t="shared" si="10"/>
        <v>1329237.2385</v>
      </c>
      <c r="M42" s="217">
        <f t="shared" si="10"/>
        <v>1262904.6201249999</v>
      </c>
      <c r="N42" s="217">
        <f t="shared" si="10"/>
        <v>1406857.668202</v>
      </c>
      <c r="O42" s="217">
        <f t="shared" si="10"/>
        <v>1170661.8008290001</v>
      </c>
      <c r="P42" s="217">
        <f>SUM(D42:O42)</f>
        <v>14163798.212006999</v>
      </c>
    </row>
    <row r="43" spans="1:16" ht="44.5" customHeight="1" x14ac:dyDescent="0.2"/>
  </sheetData>
  <mergeCells count="15">
    <mergeCell ref="A42:B42"/>
    <mergeCell ref="A24:A26"/>
    <mergeCell ref="B24:B26"/>
    <mergeCell ref="A27:A38"/>
    <mergeCell ref="B27:B30"/>
    <mergeCell ref="B35:B38"/>
    <mergeCell ref="B31:B34"/>
    <mergeCell ref="A20:A23"/>
    <mergeCell ref="B20:B23"/>
    <mergeCell ref="F3:O3"/>
    <mergeCell ref="B15:B19"/>
    <mergeCell ref="A15:A19"/>
    <mergeCell ref="B5:B9"/>
    <mergeCell ref="B10:B14"/>
    <mergeCell ref="A5:A14"/>
  </mergeCells>
  <phoneticPr fontId="2"/>
  <pageMargins left="0" right="0" top="0" bottom="0" header="0.31496062992125984" footer="0.31496062992125984"/>
  <pageSetup paperSize="9" scale="44" fitToWidth="0" orientation="landscape" r:id="rId1"/>
  <ignoredErrors>
    <ignoredError sqref="E40" formula="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FFAFD"/>
    <pageSetUpPr fitToPage="1"/>
  </sheetPr>
  <dimension ref="B1:K150"/>
  <sheetViews>
    <sheetView zoomScale="81" zoomScaleNormal="85" workbookViewId="0">
      <pane xSplit="3" ySplit="3" topLeftCell="D76" activePane="bottomRight" state="frozen"/>
      <selection pane="topRight" activeCell="D1" sqref="D1"/>
      <selection pane="bottomLeft" activeCell="A4" sqref="A4"/>
      <selection pane="bottomRight" activeCell="H65" sqref="H65"/>
    </sheetView>
  </sheetViews>
  <sheetFormatPr defaultRowHeight="13" x14ac:dyDescent="0.2"/>
  <cols>
    <col min="1" max="1" width="7" customWidth="1"/>
    <col min="2" max="2" width="17.26953125" customWidth="1"/>
    <col min="3" max="3" width="15" customWidth="1"/>
    <col min="4" max="4" width="27.453125" customWidth="1"/>
    <col min="5" max="5" width="18.6328125" customWidth="1"/>
    <col min="6" max="6" width="18.90625" customWidth="1"/>
    <col min="7" max="7" width="20.90625" hidden="1" customWidth="1"/>
    <col min="8" max="9" width="17.453125" style="1" customWidth="1"/>
    <col min="10" max="10" width="20.36328125" customWidth="1"/>
    <col min="11" max="11" width="49" bestFit="1" customWidth="1"/>
  </cols>
  <sheetData>
    <row r="1" spans="2:11" ht="34.5" customHeight="1" x14ac:dyDescent="0.2">
      <c r="B1" s="138" t="s">
        <v>274</v>
      </c>
    </row>
    <row r="2" spans="2:11" s="19" customFormat="1" ht="26.25" customHeight="1" thickBot="1" x14ac:dyDescent="0.25">
      <c r="B2" s="19" t="s">
        <v>219</v>
      </c>
      <c r="H2" s="18"/>
      <c r="I2" s="18"/>
    </row>
    <row r="3" spans="2:11" s="1" customFormat="1" ht="28.5" customHeight="1" thickBot="1" x14ac:dyDescent="0.25">
      <c r="B3" s="378" t="s">
        <v>193</v>
      </c>
      <c r="C3" s="379" t="s">
        <v>188</v>
      </c>
      <c r="D3" s="379" t="s">
        <v>189</v>
      </c>
      <c r="E3" s="379" t="s">
        <v>196</v>
      </c>
      <c r="F3" s="380" t="s">
        <v>225</v>
      </c>
      <c r="G3" s="381" t="s">
        <v>194</v>
      </c>
      <c r="H3" s="382" t="s">
        <v>227</v>
      </c>
      <c r="I3" s="407"/>
      <c r="J3" s="383" t="s">
        <v>396</v>
      </c>
      <c r="K3" s="383" t="s">
        <v>414</v>
      </c>
    </row>
    <row r="4" spans="2:11" ht="18.75" customHeight="1" x14ac:dyDescent="0.2">
      <c r="B4" s="372" t="s">
        <v>285</v>
      </c>
      <c r="C4" s="373" t="s">
        <v>288</v>
      </c>
      <c r="D4" s="374" t="s">
        <v>244</v>
      </c>
      <c r="E4" s="374" t="s">
        <v>248</v>
      </c>
      <c r="F4" s="375">
        <v>239273.33878799999</v>
      </c>
      <c r="G4" s="376">
        <v>45805</v>
      </c>
      <c r="H4" s="375">
        <v>203156</v>
      </c>
      <c r="I4" s="375"/>
      <c r="J4" s="375" t="s">
        <v>397</v>
      </c>
      <c r="K4" s="377"/>
    </row>
    <row r="5" spans="2:11" ht="18.75" customHeight="1" x14ac:dyDescent="0.2">
      <c r="B5" s="327" t="s">
        <v>285</v>
      </c>
      <c r="C5" s="255" t="s">
        <v>289</v>
      </c>
      <c r="D5" s="256" t="s">
        <v>245</v>
      </c>
      <c r="E5" s="256" t="s">
        <v>249</v>
      </c>
      <c r="F5" s="257">
        <v>73960</v>
      </c>
      <c r="G5" s="258">
        <v>45805</v>
      </c>
      <c r="H5" s="257">
        <v>73960</v>
      </c>
      <c r="I5" s="257"/>
      <c r="J5" s="257" t="s">
        <v>397</v>
      </c>
      <c r="K5" s="337"/>
    </row>
    <row r="6" spans="2:11" ht="18.75" customHeight="1" x14ac:dyDescent="0.2">
      <c r="B6" s="327" t="s">
        <v>285</v>
      </c>
      <c r="C6" s="255" t="s">
        <v>284</v>
      </c>
      <c r="D6" s="286" t="s">
        <v>246</v>
      </c>
      <c r="E6" s="256" t="s">
        <v>226</v>
      </c>
      <c r="F6" s="287">
        <v>1269.8</v>
      </c>
      <c r="G6" s="258">
        <v>45877</v>
      </c>
      <c r="H6" s="287">
        <v>1269.8</v>
      </c>
      <c r="I6" s="287"/>
      <c r="J6" s="257" t="s">
        <v>397</v>
      </c>
      <c r="K6" s="337"/>
    </row>
    <row r="7" spans="2:11" ht="18.75" customHeight="1" x14ac:dyDescent="0.2">
      <c r="B7" s="328" t="s">
        <v>285</v>
      </c>
      <c r="C7" s="254" t="s">
        <v>290</v>
      </c>
      <c r="D7" s="167" t="s">
        <v>247</v>
      </c>
      <c r="E7" s="167" t="s">
        <v>250</v>
      </c>
      <c r="F7" s="169">
        <v>873.35</v>
      </c>
      <c r="G7" s="168"/>
      <c r="H7" s="71"/>
      <c r="I7" s="71"/>
      <c r="J7" s="168"/>
      <c r="K7" s="329"/>
    </row>
    <row r="8" spans="2:11" ht="18.75" customHeight="1" x14ac:dyDescent="0.2">
      <c r="B8" s="327" t="s">
        <v>285</v>
      </c>
      <c r="C8" s="255" t="s">
        <v>291</v>
      </c>
      <c r="D8" s="256" t="s">
        <v>254</v>
      </c>
      <c r="E8" s="256" t="s">
        <v>255</v>
      </c>
      <c r="F8" s="257">
        <v>234083</v>
      </c>
      <c r="G8" s="258">
        <v>45834</v>
      </c>
      <c r="H8" s="257">
        <v>234082.797486</v>
      </c>
      <c r="I8" s="257"/>
      <c r="J8" s="257" t="s">
        <v>397</v>
      </c>
      <c r="K8" s="337"/>
    </row>
    <row r="9" spans="2:11" ht="18.75" customHeight="1" x14ac:dyDescent="0.2">
      <c r="B9" s="327" t="s">
        <v>285</v>
      </c>
      <c r="C9" s="255" t="s">
        <v>292</v>
      </c>
      <c r="D9" s="256" t="s">
        <v>256</v>
      </c>
      <c r="E9" s="256" t="s">
        <v>255</v>
      </c>
      <c r="F9" s="257">
        <v>195849</v>
      </c>
      <c r="G9" s="258">
        <v>45846</v>
      </c>
      <c r="H9" s="257">
        <v>195849</v>
      </c>
      <c r="I9" s="257"/>
      <c r="J9" s="257" t="s">
        <v>397</v>
      </c>
      <c r="K9" s="337"/>
    </row>
    <row r="10" spans="2:11" ht="18.75" customHeight="1" x14ac:dyDescent="0.2">
      <c r="B10" s="327" t="s">
        <v>295</v>
      </c>
      <c r="C10" s="255" t="s">
        <v>296</v>
      </c>
      <c r="D10" s="256" t="s">
        <v>244</v>
      </c>
      <c r="E10" s="256" t="s">
        <v>248</v>
      </c>
      <c r="F10" s="257">
        <v>255117.80951999998</v>
      </c>
      <c r="G10" s="258">
        <v>45838</v>
      </c>
      <c r="H10" s="257">
        <v>216609</v>
      </c>
      <c r="I10" s="257"/>
      <c r="J10" s="257" t="s">
        <v>397</v>
      </c>
      <c r="K10" s="337"/>
    </row>
    <row r="11" spans="2:11" ht="18.75" customHeight="1" x14ac:dyDescent="0.2">
      <c r="B11" s="327" t="s">
        <v>295</v>
      </c>
      <c r="C11" s="255" t="s">
        <v>297</v>
      </c>
      <c r="D11" s="256" t="s">
        <v>245</v>
      </c>
      <c r="E11" s="256" t="s">
        <v>249</v>
      </c>
      <c r="F11" s="262">
        <v>79258.891799999998</v>
      </c>
      <c r="G11" s="258">
        <v>45834</v>
      </c>
      <c r="H11" s="262">
        <v>79258.891799999998</v>
      </c>
      <c r="I11" s="262"/>
      <c r="J11" s="257" t="s">
        <v>397</v>
      </c>
      <c r="K11" s="337"/>
    </row>
    <row r="12" spans="2:11" ht="18.75" customHeight="1" x14ac:dyDescent="0.2">
      <c r="B12" s="327" t="s">
        <v>295</v>
      </c>
      <c r="C12" s="255" t="s">
        <v>293</v>
      </c>
      <c r="D12" s="286" t="s">
        <v>246</v>
      </c>
      <c r="E12" s="256" t="s">
        <v>226</v>
      </c>
      <c r="F12" s="287">
        <v>1767.27</v>
      </c>
      <c r="G12" s="258">
        <v>45877</v>
      </c>
      <c r="H12" s="287">
        <v>1767.27</v>
      </c>
      <c r="I12" s="287"/>
      <c r="J12" s="257" t="s">
        <v>397</v>
      </c>
      <c r="K12" s="337"/>
    </row>
    <row r="13" spans="2:11" ht="18.75" customHeight="1" x14ac:dyDescent="0.2">
      <c r="B13" s="328" t="s">
        <v>295</v>
      </c>
      <c r="C13" s="254" t="s">
        <v>298</v>
      </c>
      <c r="D13" s="167" t="s">
        <v>247</v>
      </c>
      <c r="E13" s="167" t="s">
        <v>250</v>
      </c>
      <c r="F13" s="169">
        <v>836.82600000000002</v>
      </c>
      <c r="G13" s="201"/>
      <c r="H13" s="170"/>
      <c r="I13" s="170"/>
      <c r="J13" s="170"/>
      <c r="K13" s="338"/>
    </row>
    <row r="14" spans="2:11" ht="18.75" customHeight="1" x14ac:dyDescent="0.2">
      <c r="B14" s="327" t="s">
        <v>295</v>
      </c>
      <c r="C14" s="255" t="s">
        <v>307</v>
      </c>
      <c r="D14" s="256" t="s">
        <v>254</v>
      </c>
      <c r="E14" s="256" t="s">
        <v>255</v>
      </c>
      <c r="F14" s="257">
        <v>337971.09710700001</v>
      </c>
      <c r="G14" s="258">
        <v>45870</v>
      </c>
      <c r="H14" s="257">
        <v>333971</v>
      </c>
      <c r="I14" s="257"/>
      <c r="J14" s="257" t="s">
        <v>397</v>
      </c>
      <c r="K14" s="337"/>
    </row>
    <row r="15" spans="2:11" ht="18.75" customHeight="1" x14ac:dyDescent="0.2">
      <c r="B15" s="327" t="s">
        <v>295</v>
      </c>
      <c r="C15" s="255" t="s">
        <v>344</v>
      </c>
      <c r="D15" s="256" t="s">
        <v>256</v>
      </c>
      <c r="E15" s="256" t="s">
        <v>255</v>
      </c>
      <c r="F15" s="257">
        <v>159722.78603399999</v>
      </c>
      <c r="G15" s="258">
        <v>45876</v>
      </c>
      <c r="H15" s="257">
        <v>159722.78603399999</v>
      </c>
      <c r="I15" s="257"/>
      <c r="J15" s="257" t="s">
        <v>397</v>
      </c>
      <c r="K15" s="337" t="s">
        <v>395</v>
      </c>
    </row>
    <row r="16" spans="2:11" ht="18.75" customHeight="1" x14ac:dyDescent="0.2">
      <c r="B16" s="327" t="s">
        <v>302</v>
      </c>
      <c r="C16" s="255" t="s">
        <v>303</v>
      </c>
      <c r="D16" s="256" t="s">
        <v>244</v>
      </c>
      <c r="E16" s="256" t="s">
        <v>248</v>
      </c>
      <c r="F16" s="257">
        <v>307615.08937499998</v>
      </c>
      <c r="G16" s="258">
        <v>45867</v>
      </c>
      <c r="H16" s="259">
        <v>261183</v>
      </c>
      <c r="I16" s="259"/>
      <c r="J16" s="257" t="s">
        <v>397</v>
      </c>
      <c r="K16" s="337"/>
    </row>
    <row r="17" spans="2:11" ht="18.75" customHeight="1" x14ac:dyDescent="0.2">
      <c r="B17" s="327" t="s">
        <v>302</v>
      </c>
      <c r="C17" s="255" t="s">
        <v>304</v>
      </c>
      <c r="D17" s="256" t="s">
        <v>245</v>
      </c>
      <c r="E17" s="256" t="s">
        <v>249</v>
      </c>
      <c r="F17" s="257">
        <v>73022.16</v>
      </c>
      <c r="G17" s="258">
        <v>45874</v>
      </c>
      <c r="H17" s="257">
        <v>73022.16</v>
      </c>
      <c r="I17" s="257"/>
      <c r="J17" s="257" t="s">
        <v>397</v>
      </c>
      <c r="K17" s="337"/>
    </row>
    <row r="18" spans="2:11" ht="18.75" customHeight="1" x14ac:dyDescent="0.2">
      <c r="B18" s="327" t="s">
        <v>302</v>
      </c>
      <c r="C18" s="255" t="s">
        <v>300</v>
      </c>
      <c r="D18" s="286" t="s">
        <v>246</v>
      </c>
      <c r="E18" s="256" t="s">
        <v>226</v>
      </c>
      <c r="F18" s="292">
        <v>1569.204</v>
      </c>
      <c r="G18" s="258">
        <v>45881</v>
      </c>
      <c r="H18" s="292">
        <v>1569.204</v>
      </c>
      <c r="I18" s="292"/>
      <c r="J18" s="257" t="s">
        <v>397</v>
      </c>
      <c r="K18" s="337"/>
    </row>
    <row r="19" spans="2:11" ht="18.75" customHeight="1" x14ac:dyDescent="0.2">
      <c r="B19" s="328" t="s">
        <v>302</v>
      </c>
      <c r="C19" s="254" t="s">
        <v>305</v>
      </c>
      <c r="D19" s="167" t="s">
        <v>247</v>
      </c>
      <c r="E19" s="167" t="s">
        <v>250</v>
      </c>
      <c r="F19" s="333">
        <v>750</v>
      </c>
      <c r="G19" s="201"/>
      <c r="H19" s="170"/>
      <c r="I19" s="170"/>
      <c r="J19" s="168"/>
      <c r="K19" s="338"/>
    </row>
    <row r="20" spans="2:11" ht="18.75" customHeight="1" x14ac:dyDescent="0.2">
      <c r="B20" s="327" t="s">
        <v>302</v>
      </c>
      <c r="C20" s="255" t="s">
        <v>306</v>
      </c>
      <c r="D20" s="256" t="s">
        <v>254</v>
      </c>
      <c r="E20" s="256" t="s">
        <v>255</v>
      </c>
      <c r="F20" s="257">
        <v>278669.92569899996</v>
      </c>
      <c r="G20" s="288">
        <v>45898</v>
      </c>
      <c r="H20" s="257">
        <v>278669.92569899996</v>
      </c>
      <c r="I20" s="257"/>
      <c r="J20" s="257" t="s">
        <v>397</v>
      </c>
      <c r="K20" s="339"/>
    </row>
    <row r="21" spans="2:11" ht="18.75" customHeight="1" x14ac:dyDescent="0.2">
      <c r="B21" s="327" t="s">
        <v>354</v>
      </c>
      <c r="C21" s="255" t="s">
        <v>345</v>
      </c>
      <c r="D21" s="256" t="s">
        <v>244</v>
      </c>
      <c r="E21" s="256" t="s">
        <v>248</v>
      </c>
      <c r="F21" s="257">
        <v>347368.20258600003</v>
      </c>
      <c r="G21" s="258">
        <v>45961</v>
      </c>
      <c r="H21" s="257">
        <v>294935.20258600003</v>
      </c>
      <c r="I21" s="257"/>
      <c r="J21" s="257" t="s">
        <v>397</v>
      </c>
      <c r="K21" s="337"/>
    </row>
    <row r="22" spans="2:11" ht="18.75" customHeight="1" x14ac:dyDescent="0.2">
      <c r="B22" s="327" t="s">
        <v>354</v>
      </c>
      <c r="C22" s="255" t="s">
        <v>346</v>
      </c>
      <c r="D22" s="256" t="s">
        <v>245</v>
      </c>
      <c r="E22" s="256" t="s">
        <v>249</v>
      </c>
      <c r="F22" s="289">
        <v>72074.91</v>
      </c>
      <c r="G22" s="288">
        <v>45898</v>
      </c>
      <c r="H22" s="289">
        <v>72074.91</v>
      </c>
      <c r="I22" s="289"/>
      <c r="J22" s="257" t="s">
        <v>397</v>
      </c>
      <c r="K22" s="339"/>
    </row>
    <row r="23" spans="2:11" ht="20" customHeight="1" x14ac:dyDescent="0.2">
      <c r="B23" s="327" t="s">
        <v>354</v>
      </c>
      <c r="C23" s="255" t="s">
        <v>308</v>
      </c>
      <c r="D23" s="286" t="s">
        <v>246</v>
      </c>
      <c r="E23" s="256" t="s">
        <v>226</v>
      </c>
      <c r="F23" s="292">
        <v>1803.7379999999998</v>
      </c>
      <c r="G23" s="258">
        <v>45911</v>
      </c>
      <c r="H23" s="293">
        <v>1442.99</v>
      </c>
      <c r="I23" s="293"/>
      <c r="J23" s="257" t="s">
        <v>397</v>
      </c>
      <c r="K23" s="337"/>
    </row>
    <row r="24" spans="2:11" ht="18.75" customHeight="1" x14ac:dyDescent="0.2">
      <c r="B24" s="328" t="s">
        <v>354</v>
      </c>
      <c r="C24" s="254" t="s">
        <v>347</v>
      </c>
      <c r="D24" s="167" t="s">
        <v>311</v>
      </c>
      <c r="E24" s="167" t="s">
        <v>250</v>
      </c>
      <c r="F24" s="169">
        <v>1365.462</v>
      </c>
      <c r="G24" s="201"/>
      <c r="H24" s="174"/>
      <c r="I24" s="174"/>
      <c r="J24" s="168"/>
      <c r="K24" s="338"/>
    </row>
    <row r="25" spans="2:11" ht="18.75" customHeight="1" x14ac:dyDescent="0.2">
      <c r="B25" s="328" t="s">
        <v>354</v>
      </c>
      <c r="C25" s="254" t="s">
        <v>348</v>
      </c>
      <c r="D25" s="167" t="s">
        <v>247</v>
      </c>
      <c r="E25" s="167" t="s">
        <v>250</v>
      </c>
      <c r="F25" s="171">
        <v>750</v>
      </c>
      <c r="G25" s="168"/>
      <c r="H25" s="71"/>
      <c r="I25" s="71"/>
      <c r="J25" s="168"/>
      <c r="K25" s="329"/>
    </row>
    <row r="26" spans="2:11" ht="18.75" customHeight="1" x14ac:dyDescent="0.2">
      <c r="B26" s="327" t="s">
        <v>354</v>
      </c>
      <c r="C26" s="255" t="s">
        <v>349</v>
      </c>
      <c r="D26" s="256" t="s">
        <v>254</v>
      </c>
      <c r="E26" s="256" t="s">
        <v>255</v>
      </c>
      <c r="F26" s="257">
        <v>234998.83111599999</v>
      </c>
      <c r="G26" s="258">
        <v>45932</v>
      </c>
      <c r="H26" s="257">
        <v>234998.83111599999</v>
      </c>
      <c r="I26" s="257"/>
      <c r="J26" s="257" t="s">
        <v>397</v>
      </c>
      <c r="K26" s="337"/>
    </row>
    <row r="27" spans="2:11" ht="18.75" customHeight="1" x14ac:dyDescent="0.2">
      <c r="B27" s="327" t="s">
        <v>354</v>
      </c>
      <c r="C27" s="255" t="s">
        <v>350</v>
      </c>
      <c r="D27" s="256" t="s">
        <v>256</v>
      </c>
      <c r="E27" s="256" t="s">
        <v>255</v>
      </c>
      <c r="F27" s="257">
        <v>259290.56896500001</v>
      </c>
      <c r="G27" s="258">
        <v>45924</v>
      </c>
      <c r="H27" s="257">
        <v>259290.56896500001</v>
      </c>
      <c r="I27" s="257"/>
      <c r="J27" s="257" t="s">
        <v>397</v>
      </c>
      <c r="K27" s="337"/>
    </row>
    <row r="28" spans="2:11" ht="18.75" customHeight="1" x14ac:dyDescent="0.2">
      <c r="B28" s="327" t="s">
        <v>355</v>
      </c>
      <c r="C28" s="255" t="s">
        <v>351</v>
      </c>
      <c r="D28" s="256" t="s">
        <v>256</v>
      </c>
      <c r="E28" s="256" t="s">
        <v>255</v>
      </c>
      <c r="F28" s="257">
        <v>226732.91999999998</v>
      </c>
      <c r="G28" s="258">
        <v>45971</v>
      </c>
      <c r="H28" s="257">
        <v>226732.91999999998</v>
      </c>
      <c r="I28" s="257"/>
      <c r="J28" s="257" t="s">
        <v>397</v>
      </c>
      <c r="K28" s="262" t="s">
        <v>358</v>
      </c>
    </row>
    <row r="29" spans="2:11" ht="18.75" customHeight="1" x14ac:dyDescent="0.2">
      <c r="B29" s="327" t="s">
        <v>355</v>
      </c>
      <c r="C29" s="255" t="s">
        <v>352</v>
      </c>
      <c r="D29" s="286" t="s">
        <v>256</v>
      </c>
      <c r="E29" s="256" t="s">
        <v>255</v>
      </c>
      <c r="F29" s="289">
        <v>107979.72</v>
      </c>
      <c r="G29" s="258">
        <v>45924</v>
      </c>
      <c r="H29" s="289">
        <v>107979.72</v>
      </c>
      <c r="I29" s="289"/>
      <c r="J29" s="257" t="s">
        <v>397</v>
      </c>
      <c r="K29" s="332" t="s">
        <v>357</v>
      </c>
    </row>
    <row r="30" spans="2:11" ht="18.75" customHeight="1" x14ac:dyDescent="0.2">
      <c r="B30" s="327" t="s">
        <v>355</v>
      </c>
      <c r="C30" s="255" t="s">
        <v>353</v>
      </c>
      <c r="D30" s="256" t="s">
        <v>256</v>
      </c>
      <c r="E30" s="256" t="s">
        <v>255</v>
      </c>
      <c r="F30" s="289">
        <v>124522.01999999999</v>
      </c>
      <c r="G30" s="258">
        <v>45924</v>
      </c>
      <c r="H30" s="289">
        <v>124522.01999999999</v>
      </c>
      <c r="I30" s="289"/>
      <c r="J30" s="257" t="s">
        <v>397</v>
      </c>
      <c r="K30" s="332" t="s">
        <v>356</v>
      </c>
    </row>
    <row r="31" spans="2:11" ht="18.75" customHeight="1" x14ac:dyDescent="0.2">
      <c r="B31" s="327" t="s">
        <v>360</v>
      </c>
      <c r="C31" s="255" t="s">
        <v>361</v>
      </c>
      <c r="D31" s="256" t="s">
        <v>244</v>
      </c>
      <c r="E31" s="256" t="s">
        <v>248</v>
      </c>
      <c r="F31" s="289">
        <v>430524.50750399998</v>
      </c>
      <c r="G31" s="258">
        <v>45929</v>
      </c>
      <c r="H31" s="294">
        <v>365540</v>
      </c>
      <c r="I31" s="294"/>
      <c r="J31" s="257" t="s">
        <v>397</v>
      </c>
      <c r="K31" s="337"/>
    </row>
    <row r="32" spans="2:11" ht="18.75" customHeight="1" x14ac:dyDescent="0.2">
      <c r="B32" s="327" t="s">
        <v>360</v>
      </c>
      <c r="C32" s="255" t="s">
        <v>362</v>
      </c>
      <c r="D32" s="256" t="s">
        <v>245</v>
      </c>
      <c r="E32" s="256" t="s">
        <v>249</v>
      </c>
      <c r="F32" s="257">
        <v>72491.94</v>
      </c>
      <c r="G32" s="258">
        <v>45919</v>
      </c>
      <c r="H32" s="257">
        <v>72491.94</v>
      </c>
      <c r="I32" s="257"/>
      <c r="J32" s="257" t="s">
        <v>397</v>
      </c>
      <c r="K32" s="337"/>
    </row>
    <row r="33" spans="2:11" ht="18.75" customHeight="1" x14ac:dyDescent="0.2">
      <c r="B33" s="327" t="s">
        <v>360</v>
      </c>
      <c r="C33" s="255" t="s">
        <v>363</v>
      </c>
      <c r="D33" s="286" t="s">
        <v>246</v>
      </c>
      <c r="E33" s="256" t="s">
        <v>226</v>
      </c>
      <c r="F33" s="296">
        <v>1947.384</v>
      </c>
      <c r="G33" s="258">
        <v>45950</v>
      </c>
      <c r="H33" s="296">
        <v>1559.51</v>
      </c>
      <c r="I33" s="296"/>
      <c r="J33" s="257" t="s">
        <v>397</v>
      </c>
      <c r="K33" s="337"/>
    </row>
    <row r="34" spans="2:11" ht="18.75" customHeight="1" x14ac:dyDescent="0.2">
      <c r="B34" s="328" t="s">
        <v>360</v>
      </c>
      <c r="C34" s="254" t="s">
        <v>364</v>
      </c>
      <c r="D34" s="167" t="s">
        <v>311</v>
      </c>
      <c r="E34" s="167" t="s">
        <v>250</v>
      </c>
      <c r="F34" s="171">
        <v>876.97500000000002</v>
      </c>
      <c r="G34" s="201"/>
      <c r="H34" s="250"/>
      <c r="I34" s="250"/>
      <c r="J34" s="168"/>
      <c r="K34" s="338"/>
    </row>
    <row r="35" spans="2:11" ht="18.75" customHeight="1" x14ac:dyDescent="0.2">
      <c r="B35" s="328" t="s">
        <v>360</v>
      </c>
      <c r="C35" s="254" t="s">
        <v>365</v>
      </c>
      <c r="D35" s="167" t="s">
        <v>247</v>
      </c>
      <c r="E35" s="167" t="s">
        <v>250</v>
      </c>
      <c r="F35" s="171">
        <v>750</v>
      </c>
      <c r="G35" s="201"/>
      <c r="H35" s="71"/>
      <c r="I35" s="71"/>
      <c r="J35" s="168"/>
      <c r="K35" s="338"/>
    </row>
    <row r="36" spans="2:11" ht="18.75" customHeight="1" x14ac:dyDescent="0.2">
      <c r="B36" s="327" t="s">
        <v>360</v>
      </c>
      <c r="C36" s="255" t="s">
        <v>366</v>
      </c>
      <c r="D36" s="286" t="s">
        <v>256</v>
      </c>
      <c r="E36" s="256" t="s">
        <v>255</v>
      </c>
      <c r="F36" s="289">
        <v>310296.59188800002</v>
      </c>
      <c r="G36" s="258">
        <v>45958</v>
      </c>
      <c r="H36" s="297">
        <v>310296.59188800002</v>
      </c>
      <c r="I36" s="297"/>
      <c r="J36" s="257" t="s">
        <v>397</v>
      </c>
      <c r="K36" s="337"/>
    </row>
    <row r="37" spans="2:11" ht="18.75" customHeight="1" x14ac:dyDescent="0.2">
      <c r="B37" s="327" t="s">
        <v>360</v>
      </c>
      <c r="C37" s="255" t="s">
        <v>367</v>
      </c>
      <c r="D37" s="256" t="s">
        <v>256</v>
      </c>
      <c r="E37" s="256" t="s">
        <v>255</v>
      </c>
      <c r="F37" s="289">
        <v>185442.92793999999</v>
      </c>
      <c r="G37" s="258">
        <v>45971</v>
      </c>
      <c r="H37" s="289">
        <v>185442.92793999999</v>
      </c>
      <c r="I37" s="289"/>
      <c r="J37" s="257" t="s">
        <v>397</v>
      </c>
      <c r="K37" s="350"/>
    </row>
    <row r="38" spans="2:11" ht="18.75" customHeight="1" x14ac:dyDescent="0.2">
      <c r="B38" s="328" t="s">
        <v>368</v>
      </c>
      <c r="C38" s="254" t="s">
        <v>369</v>
      </c>
      <c r="D38" s="167" t="s">
        <v>256</v>
      </c>
      <c r="E38" s="167" t="s">
        <v>255</v>
      </c>
      <c r="F38" s="174">
        <v>1000000</v>
      </c>
      <c r="G38" s="201"/>
      <c r="H38" s="250"/>
      <c r="I38" s="250"/>
      <c r="J38" s="168"/>
      <c r="K38" s="338"/>
    </row>
    <row r="39" spans="2:11" ht="18.75" customHeight="1" x14ac:dyDescent="0.2">
      <c r="B39" s="327" t="s">
        <v>377</v>
      </c>
      <c r="C39" s="255" t="s">
        <v>370</v>
      </c>
      <c r="D39" s="256" t="s">
        <v>244</v>
      </c>
      <c r="E39" s="256" t="s">
        <v>248</v>
      </c>
      <c r="F39" s="257">
        <v>253805.84074799999</v>
      </c>
      <c r="G39" s="258">
        <v>45961</v>
      </c>
      <c r="H39" s="295">
        <v>215496</v>
      </c>
      <c r="I39" s="295"/>
      <c r="J39" s="257" t="s">
        <v>397</v>
      </c>
      <c r="K39" s="337"/>
    </row>
    <row r="40" spans="2:11" ht="18.75" customHeight="1" x14ac:dyDescent="0.2">
      <c r="B40" s="327" t="s">
        <v>377</v>
      </c>
      <c r="C40" s="255" t="s">
        <v>371</v>
      </c>
      <c r="D40" s="256" t="s">
        <v>245</v>
      </c>
      <c r="E40" s="256" t="s">
        <v>249</v>
      </c>
      <c r="F40" s="257">
        <v>70000</v>
      </c>
      <c r="G40" s="258">
        <v>45965</v>
      </c>
      <c r="H40" s="257">
        <v>70000</v>
      </c>
      <c r="I40" s="257"/>
      <c r="J40" s="257" t="s">
        <v>397</v>
      </c>
      <c r="K40" s="337"/>
    </row>
    <row r="41" spans="2:11" ht="18.75" customHeight="1" x14ac:dyDescent="0.2">
      <c r="B41" s="327" t="s">
        <v>376</v>
      </c>
      <c r="C41" s="255" t="s">
        <v>372</v>
      </c>
      <c r="D41" s="256" t="s">
        <v>246</v>
      </c>
      <c r="E41" s="256" t="s">
        <v>226</v>
      </c>
      <c r="F41" s="296">
        <v>1489.578</v>
      </c>
      <c r="G41" s="258">
        <v>45980</v>
      </c>
      <c r="H41" s="384">
        <v>1191.58</v>
      </c>
      <c r="I41" s="384"/>
      <c r="J41" s="257" t="s">
        <v>397</v>
      </c>
      <c r="K41" s="337"/>
    </row>
    <row r="42" spans="2:11" ht="18.75" customHeight="1" x14ac:dyDescent="0.2">
      <c r="B42" s="328" t="s">
        <v>376</v>
      </c>
      <c r="C42" s="254" t="s">
        <v>373</v>
      </c>
      <c r="D42" s="167" t="s">
        <v>311</v>
      </c>
      <c r="E42" s="167" t="s">
        <v>250</v>
      </c>
      <c r="F42" s="171">
        <v>905.40299999999991</v>
      </c>
      <c r="G42" s="201"/>
      <c r="H42" s="170"/>
      <c r="I42" s="170"/>
      <c r="J42" s="168"/>
      <c r="K42" s="338"/>
    </row>
    <row r="43" spans="2:11" ht="18.75" customHeight="1" x14ac:dyDescent="0.2">
      <c r="B43" s="328" t="s">
        <v>376</v>
      </c>
      <c r="C43" s="254" t="s">
        <v>374</v>
      </c>
      <c r="D43" s="71" t="s">
        <v>247</v>
      </c>
      <c r="E43" s="167" t="s">
        <v>250</v>
      </c>
      <c r="F43" s="169">
        <v>750</v>
      </c>
      <c r="G43" s="201"/>
      <c r="H43" s="251"/>
      <c r="I43" s="251"/>
      <c r="J43" s="168"/>
      <c r="K43" s="338"/>
    </row>
    <row r="44" spans="2:11" ht="18.75" customHeight="1" x14ac:dyDescent="0.2">
      <c r="B44" s="327" t="s">
        <v>376</v>
      </c>
      <c r="C44" s="255" t="s">
        <v>375</v>
      </c>
      <c r="D44" s="256" t="s">
        <v>254</v>
      </c>
      <c r="E44" s="256" t="s">
        <v>255</v>
      </c>
      <c r="F44" s="289">
        <v>241484.48846099997</v>
      </c>
      <c r="G44" s="258">
        <v>45988</v>
      </c>
      <c r="H44" s="289">
        <v>241484.48846099997</v>
      </c>
      <c r="I44" s="289"/>
      <c r="J44" s="257" t="s">
        <v>397</v>
      </c>
      <c r="K44" s="350"/>
    </row>
    <row r="45" spans="2:11" ht="18.75" customHeight="1" x14ac:dyDescent="0.2">
      <c r="B45" s="327" t="s">
        <v>376</v>
      </c>
      <c r="C45" s="255" t="s">
        <v>398</v>
      </c>
      <c r="D45" s="256" t="s">
        <v>256</v>
      </c>
      <c r="E45" s="256" t="s">
        <v>255</v>
      </c>
      <c r="F45" s="289">
        <v>162422.44847999999</v>
      </c>
      <c r="G45" s="258">
        <v>45967</v>
      </c>
      <c r="H45" s="289">
        <v>162422.44847999999</v>
      </c>
      <c r="I45" s="289"/>
      <c r="J45" s="257" t="s">
        <v>397</v>
      </c>
      <c r="K45" s="371" t="s">
        <v>415</v>
      </c>
    </row>
    <row r="46" spans="2:11" ht="18.75" customHeight="1" x14ac:dyDescent="0.2">
      <c r="B46" s="327" t="s">
        <v>376</v>
      </c>
      <c r="C46" s="255" t="s">
        <v>393</v>
      </c>
      <c r="D46" s="256" t="s">
        <v>256</v>
      </c>
      <c r="E46" s="256" t="s">
        <v>255</v>
      </c>
      <c r="F46" s="257">
        <v>118736.19</v>
      </c>
      <c r="G46" s="258">
        <v>45966</v>
      </c>
      <c r="H46" s="257">
        <v>118736.19</v>
      </c>
      <c r="I46" s="257"/>
      <c r="J46" s="257" t="s">
        <v>397</v>
      </c>
      <c r="K46" s="257" t="s">
        <v>410</v>
      </c>
    </row>
    <row r="47" spans="2:11" ht="18.75" customHeight="1" x14ac:dyDescent="0.2">
      <c r="B47" s="327" t="s">
        <v>376</v>
      </c>
      <c r="C47" s="255" t="s">
        <v>394</v>
      </c>
      <c r="D47" s="256" t="s">
        <v>256</v>
      </c>
      <c r="E47" s="256" t="s">
        <v>255</v>
      </c>
      <c r="F47" s="257">
        <v>116440.83</v>
      </c>
      <c r="G47" s="258">
        <v>45966</v>
      </c>
      <c r="H47" s="257">
        <v>116440.83</v>
      </c>
      <c r="I47" s="257"/>
      <c r="J47" s="257" t="s">
        <v>397</v>
      </c>
      <c r="K47" s="257" t="s">
        <v>413</v>
      </c>
    </row>
    <row r="48" spans="2:11" ht="18.75" customHeight="1" x14ac:dyDescent="0.2">
      <c r="B48" s="327" t="s">
        <v>412</v>
      </c>
      <c r="C48" s="385" t="s">
        <v>401</v>
      </c>
      <c r="D48" s="256" t="s">
        <v>244</v>
      </c>
      <c r="E48" s="256" t="s">
        <v>248</v>
      </c>
      <c r="F48" s="257">
        <v>305159.50358399999</v>
      </c>
      <c r="G48" s="258">
        <v>45992</v>
      </c>
      <c r="H48" s="259">
        <v>259098</v>
      </c>
      <c r="I48" s="259"/>
      <c r="J48" s="257" t="s">
        <v>397</v>
      </c>
      <c r="K48" s="337"/>
    </row>
    <row r="49" spans="2:11" ht="18.75" customHeight="1" x14ac:dyDescent="0.2">
      <c r="B49" s="327" t="s">
        <v>412</v>
      </c>
      <c r="C49" s="385" t="s">
        <v>402</v>
      </c>
      <c r="D49" s="256" t="s">
        <v>245</v>
      </c>
      <c r="E49" s="256" t="s">
        <v>249</v>
      </c>
      <c r="F49" s="257">
        <v>70000</v>
      </c>
      <c r="G49" s="258">
        <v>45987</v>
      </c>
      <c r="H49" s="257">
        <v>70000</v>
      </c>
      <c r="I49" s="257"/>
      <c r="J49" s="257" t="s">
        <v>397</v>
      </c>
      <c r="K49" s="337"/>
    </row>
    <row r="50" spans="2:11" ht="18.75" customHeight="1" x14ac:dyDescent="0.2">
      <c r="B50" s="327" t="s">
        <v>411</v>
      </c>
      <c r="C50" s="385" t="s">
        <v>403</v>
      </c>
      <c r="D50" s="256" t="s">
        <v>246</v>
      </c>
      <c r="E50" s="256" t="s">
        <v>226</v>
      </c>
      <c r="F50" s="292">
        <v>1990.404</v>
      </c>
      <c r="G50" s="258">
        <v>46015</v>
      </c>
      <c r="H50" s="384">
        <v>1592.3</v>
      </c>
      <c r="I50" s="384"/>
      <c r="J50" s="257" t="s">
        <v>397</v>
      </c>
      <c r="K50" s="337"/>
    </row>
    <row r="51" spans="2:11" ht="18.75" customHeight="1" x14ac:dyDescent="0.2">
      <c r="B51" s="328" t="s">
        <v>411</v>
      </c>
      <c r="C51" s="349" t="s">
        <v>404</v>
      </c>
      <c r="D51" s="167" t="s">
        <v>311</v>
      </c>
      <c r="E51" s="167" t="s">
        <v>250</v>
      </c>
      <c r="F51" s="169">
        <v>934.12799999999993</v>
      </c>
      <c r="G51" s="201"/>
      <c r="H51" s="170"/>
      <c r="I51" s="170"/>
      <c r="J51" s="168"/>
      <c r="K51" s="338"/>
    </row>
    <row r="52" spans="2:11" ht="18.75" customHeight="1" x14ac:dyDescent="0.2">
      <c r="B52" s="328" t="s">
        <v>411</v>
      </c>
      <c r="C52" s="349" t="s">
        <v>405</v>
      </c>
      <c r="D52" s="71" t="s">
        <v>247</v>
      </c>
      <c r="E52" s="167" t="s">
        <v>250</v>
      </c>
      <c r="F52" s="169">
        <v>750</v>
      </c>
      <c r="G52" s="168"/>
      <c r="H52" s="71"/>
      <c r="I52" s="71"/>
      <c r="J52" s="168"/>
      <c r="K52" s="329"/>
    </row>
    <row r="53" spans="2:11" ht="18.75" customHeight="1" x14ac:dyDescent="0.2">
      <c r="B53" s="327" t="s">
        <v>411</v>
      </c>
      <c r="C53" s="385" t="s">
        <v>431</v>
      </c>
      <c r="D53" s="256" t="s">
        <v>254</v>
      </c>
      <c r="E53" s="256" t="s">
        <v>255</v>
      </c>
      <c r="F53" s="257">
        <v>261696.69</v>
      </c>
      <c r="G53" s="258">
        <v>46021</v>
      </c>
      <c r="H53" s="257">
        <v>261696.69</v>
      </c>
      <c r="I53" s="257"/>
      <c r="J53" s="257" t="s">
        <v>397</v>
      </c>
      <c r="K53" s="337"/>
    </row>
    <row r="54" spans="2:11" ht="18.75" customHeight="1" x14ac:dyDescent="0.2">
      <c r="B54" s="327" t="s">
        <v>411</v>
      </c>
      <c r="C54" s="385" t="s">
        <v>406</v>
      </c>
      <c r="D54" s="256" t="s">
        <v>256</v>
      </c>
      <c r="E54" s="256" t="s">
        <v>255</v>
      </c>
      <c r="F54" s="257">
        <v>154000</v>
      </c>
      <c r="G54" s="201"/>
      <c r="H54" s="257">
        <v>154000</v>
      </c>
      <c r="I54" s="257"/>
      <c r="J54" s="257" t="s">
        <v>397</v>
      </c>
      <c r="K54" s="337" t="s">
        <v>456</v>
      </c>
    </row>
    <row r="55" spans="2:11" ht="18.75" customHeight="1" x14ac:dyDescent="0.2">
      <c r="B55" s="327" t="s">
        <v>411</v>
      </c>
      <c r="C55" s="385" t="s">
        <v>407</v>
      </c>
      <c r="D55" s="256" t="s">
        <v>256</v>
      </c>
      <c r="E55" s="256" t="s">
        <v>255</v>
      </c>
      <c r="F55" s="257">
        <v>54152.681697</v>
      </c>
      <c r="G55" s="408"/>
      <c r="H55" s="259">
        <v>45731</v>
      </c>
      <c r="I55" s="409">
        <v>46055</v>
      </c>
      <c r="J55" s="332"/>
      <c r="K55" s="337" t="s">
        <v>457</v>
      </c>
    </row>
    <row r="56" spans="2:11" ht="18.75" customHeight="1" x14ac:dyDescent="0.2">
      <c r="B56" s="327" t="s">
        <v>411</v>
      </c>
      <c r="C56" s="385" t="s">
        <v>408</v>
      </c>
      <c r="D56" s="256" t="s">
        <v>256</v>
      </c>
      <c r="E56" s="256" t="s">
        <v>255</v>
      </c>
      <c r="F56" s="257">
        <v>67730.888609999995</v>
      </c>
      <c r="G56" s="408"/>
      <c r="H56" s="257">
        <v>67730.888609999995</v>
      </c>
      <c r="I56" s="409">
        <v>46055</v>
      </c>
      <c r="J56" s="332"/>
      <c r="K56" s="337" t="s">
        <v>409</v>
      </c>
    </row>
    <row r="57" spans="2:11" ht="18.75" customHeight="1" x14ac:dyDescent="0.2">
      <c r="B57" s="327" t="s">
        <v>428</v>
      </c>
      <c r="C57" s="385" t="s">
        <v>419</v>
      </c>
      <c r="D57" s="256" t="s">
        <v>244</v>
      </c>
      <c r="E57" s="256" t="s">
        <v>248</v>
      </c>
      <c r="F57" s="257">
        <v>291540.65399999998</v>
      </c>
      <c r="G57" s="258">
        <v>46021</v>
      </c>
      <c r="H57" s="259">
        <v>247535</v>
      </c>
      <c r="I57" s="259"/>
      <c r="J57" s="257" t="s">
        <v>397</v>
      </c>
      <c r="K57" s="350"/>
    </row>
    <row r="58" spans="2:11" ht="18.75" customHeight="1" x14ac:dyDescent="0.2">
      <c r="B58" s="327" t="s">
        <v>428</v>
      </c>
      <c r="C58" s="385" t="s">
        <v>420</v>
      </c>
      <c r="D58" s="256" t="s">
        <v>245</v>
      </c>
      <c r="E58" s="256" t="s">
        <v>249</v>
      </c>
      <c r="F58" s="257">
        <v>70000</v>
      </c>
      <c r="G58" s="258">
        <v>46021</v>
      </c>
      <c r="H58" s="257">
        <v>70000</v>
      </c>
      <c r="I58" s="257"/>
      <c r="J58" s="257" t="s">
        <v>397</v>
      </c>
      <c r="K58" s="350"/>
    </row>
    <row r="59" spans="2:11" ht="18.75" customHeight="1" x14ac:dyDescent="0.2">
      <c r="B59" s="327" t="s">
        <v>428</v>
      </c>
      <c r="C59" s="385" t="s">
        <v>421</v>
      </c>
      <c r="D59" s="256" t="s">
        <v>246</v>
      </c>
      <c r="E59" s="256" t="s">
        <v>226</v>
      </c>
      <c r="F59" s="292">
        <v>1506.8999999999999</v>
      </c>
      <c r="G59" s="332"/>
      <c r="H59" s="384">
        <v>1205.05</v>
      </c>
      <c r="I59" s="384"/>
      <c r="J59" s="257" t="s">
        <v>397</v>
      </c>
      <c r="K59" s="350"/>
    </row>
    <row r="60" spans="2:11" ht="18.75" customHeight="1" x14ac:dyDescent="0.2">
      <c r="B60" s="328" t="s">
        <v>429</v>
      </c>
      <c r="C60" s="349" t="s">
        <v>422</v>
      </c>
      <c r="D60" s="167" t="s">
        <v>311</v>
      </c>
      <c r="E60" s="167" t="s">
        <v>250</v>
      </c>
      <c r="F60" s="169">
        <v>755.42100000000005</v>
      </c>
      <c r="G60" s="201"/>
      <c r="H60" s="71"/>
      <c r="I60" s="71"/>
      <c r="J60" s="168"/>
      <c r="K60" s="338"/>
    </row>
    <row r="61" spans="2:11" ht="18.75" customHeight="1" x14ac:dyDescent="0.2">
      <c r="B61" s="328" t="s">
        <v>429</v>
      </c>
      <c r="C61" s="349" t="s">
        <v>423</v>
      </c>
      <c r="D61" s="71" t="s">
        <v>247</v>
      </c>
      <c r="E61" s="167" t="s">
        <v>250</v>
      </c>
      <c r="F61" s="169">
        <v>750</v>
      </c>
      <c r="G61" s="201"/>
      <c r="H61" s="71"/>
      <c r="I61" s="71"/>
      <c r="J61" s="334"/>
      <c r="K61" s="338"/>
    </row>
    <row r="62" spans="2:11" ht="18.75" customHeight="1" x14ac:dyDescent="0.2">
      <c r="B62" s="327" t="s">
        <v>428</v>
      </c>
      <c r="C62" s="385" t="s">
        <v>424</v>
      </c>
      <c r="D62" s="256" t="s">
        <v>254</v>
      </c>
      <c r="E62" s="256" t="s">
        <v>255</v>
      </c>
      <c r="F62" s="295">
        <v>222281.52</v>
      </c>
      <c r="G62" s="258"/>
      <c r="H62" s="295">
        <v>222281.52</v>
      </c>
      <c r="I62" s="295"/>
      <c r="J62" s="257" t="s">
        <v>397</v>
      </c>
      <c r="K62" s="337"/>
    </row>
    <row r="63" spans="2:11" ht="18.75" customHeight="1" x14ac:dyDescent="0.2">
      <c r="B63" s="327" t="s">
        <v>430</v>
      </c>
      <c r="C63" s="385" t="s">
        <v>425</v>
      </c>
      <c r="D63" s="256" t="s">
        <v>449</v>
      </c>
      <c r="E63" s="256" t="s">
        <v>255</v>
      </c>
      <c r="F63" s="262">
        <v>150000</v>
      </c>
      <c r="G63" s="258"/>
      <c r="H63" s="262">
        <v>150000</v>
      </c>
      <c r="I63" s="409">
        <v>46055</v>
      </c>
      <c r="J63" s="332"/>
      <c r="K63" s="337"/>
    </row>
    <row r="64" spans="2:11" ht="18.75" customHeight="1" x14ac:dyDescent="0.2">
      <c r="B64" s="327" t="s">
        <v>430</v>
      </c>
      <c r="C64" s="385" t="s">
        <v>426</v>
      </c>
      <c r="D64" s="256" t="s">
        <v>449</v>
      </c>
      <c r="E64" s="256" t="s">
        <v>255</v>
      </c>
      <c r="F64" s="410">
        <v>27064.563749999998</v>
      </c>
      <c r="G64" s="332"/>
      <c r="H64" s="410">
        <v>27064.563749999998</v>
      </c>
      <c r="I64" s="409">
        <v>46055</v>
      </c>
      <c r="J64" s="332"/>
      <c r="K64" s="350" t="s">
        <v>451</v>
      </c>
    </row>
    <row r="65" spans="2:11" ht="18.75" customHeight="1" x14ac:dyDescent="0.2">
      <c r="B65" s="327" t="s">
        <v>430</v>
      </c>
      <c r="C65" s="385" t="s">
        <v>427</v>
      </c>
      <c r="D65" s="256" t="s">
        <v>448</v>
      </c>
      <c r="E65" s="256" t="s">
        <v>255</v>
      </c>
      <c r="F65" s="410">
        <v>60930.662100000001</v>
      </c>
      <c r="G65" s="332"/>
      <c r="H65" s="410">
        <v>60930.662100000001</v>
      </c>
      <c r="I65" s="286"/>
      <c r="J65" s="332"/>
      <c r="K65" s="350" t="s">
        <v>452</v>
      </c>
    </row>
    <row r="66" spans="2:11" ht="18.75" customHeight="1" x14ac:dyDescent="0.2">
      <c r="B66" s="406">
        <v>46030</v>
      </c>
      <c r="C66" s="385" t="s">
        <v>434</v>
      </c>
      <c r="D66" s="256" t="s">
        <v>244</v>
      </c>
      <c r="E66" s="256" t="s">
        <v>248</v>
      </c>
      <c r="F66" s="257">
        <v>292953.39</v>
      </c>
      <c r="G66" s="332"/>
      <c r="H66" s="259">
        <v>248734</v>
      </c>
      <c r="I66" s="259"/>
      <c r="J66" s="332" t="s">
        <v>455</v>
      </c>
      <c r="K66" s="350"/>
    </row>
    <row r="67" spans="2:11" ht="18.75" customHeight="1" x14ac:dyDescent="0.2">
      <c r="B67" s="406">
        <v>46036</v>
      </c>
      <c r="C67" s="385" t="s">
        <v>435</v>
      </c>
      <c r="D67" s="256" t="s">
        <v>245</v>
      </c>
      <c r="E67" s="256" t="s">
        <v>249</v>
      </c>
      <c r="F67" s="257">
        <v>77680.05</v>
      </c>
      <c r="G67" s="258"/>
      <c r="H67" s="257">
        <v>77680.05</v>
      </c>
      <c r="I67" s="411">
        <v>46050</v>
      </c>
      <c r="J67" s="332" t="s">
        <v>397</v>
      </c>
      <c r="K67" s="337"/>
    </row>
    <row r="68" spans="2:11" ht="18.75" customHeight="1" x14ac:dyDescent="0.2">
      <c r="B68" s="389">
        <v>46030</v>
      </c>
      <c r="C68" s="349" t="s">
        <v>436</v>
      </c>
      <c r="D68" s="167" t="s">
        <v>246</v>
      </c>
      <c r="E68" s="167" t="s">
        <v>226</v>
      </c>
      <c r="F68" s="169">
        <v>1439.3219999999999</v>
      </c>
      <c r="G68" s="201"/>
      <c r="H68" s="71"/>
      <c r="I68" s="71"/>
      <c r="J68" s="168"/>
      <c r="K68" s="338"/>
    </row>
    <row r="69" spans="2:11" ht="18.75" customHeight="1" x14ac:dyDescent="0.2">
      <c r="B69" s="389">
        <v>46030</v>
      </c>
      <c r="C69" s="349" t="s">
        <v>437</v>
      </c>
      <c r="D69" s="167" t="s">
        <v>311</v>
      </c>
      <c r="E69" s="167" t="s">
        <v>250</v>
      </c>
      <c r="F69" s="169">
        <v>973.43700000000001</v>
      </c>
      <c r="G69" s="201"/>
      <c r="H69" s="71"/>
      <c r="I69" s="71"/>
      <c r="J69" s="168"/>
      <c r="K69" s="338"/>
    </row>
    <row r="70" spans="2:11" ht="18.75" customHeight="1" x14ac:dyDescent="0.2">
      <c r="B70" s="389">
        <v>46030</v>
      </c>
      <c r="C70" s="349" t="s">
        <v>438</v>
      </c>
      <c r="D70" s="71" t="s">
        <v>247</v>
      </c>
      <c r="E70" s="167" t="s">
        <v>250</v>
      </c>
      <c r="F70" s="169">
        <v>750</v>
      </c>
      <c r="G70" s="201"/>
      <c r="H70" s="71"/>
      <c r="I70" s="71"/>
      <c r="J70" s="168"/>
      <c r="K70" s="338"/>
    </row>
    <row r="71" spans="2:11" ht="18.75" customHeight="1" x14ac:dyDescent="0.2">
      <c r="B71" s="406">
        <v>46036</v>
      </c>
      <c r="C71" s="385" t="s">
        <v>439</v>
      </c>
      <c r="D71" s="256" t="s">
        <v>450</v>
      </c>
      <c r="E71" s="256" t="s">
        <v>255</v>
      </c>
      <c r="F71" s="257">
        <v>309896.45999999996</v>
      </c>
      <c r="G71" s="332"/>
      <c r="H71" s="257">
        <v>309896.45999999996</v>
      </c>
      <c r="I71" s="413">
        <v>46078</v>
      </c>
      <c r="J71" s="291"/>
      <c r="K71" s="350"/>
    </row>
    <row r="72" spans="2:11" ht="18.75" customHeight="1" x14ac:dyDescent="0.2">
      <c r="B72" s="389">
        <v>46036</v>
      </c>
      <c r="C72" s="349" t="s">
        <v>440</v>
      </c>
      <c r="D72" s="167" t="s">
        <v>449</v>
      </c>
      <c r="E72" s="167" t="s">
        <v>255</v>
      </c>
      <c r="F72" s="170">
        <v>150000</v>
      </c>
      <c r="G72" s="168"/>
      <c r="H72" s="71"/>
      <c r="I72" s="71"/>
      <c r="J72" s="168"/>
      <c r="K72" s="329"/>
    </row>
    <row r="73" spans="2:11" ht="18.75" customHeight="1" x14ac:dyDescent="0.2">
      <c r="B73" s="389">
        <v>46036</v>
      </c>
      <c r="C73" s="349" t="s">
        <v>441</v>
      </c>
      <c r="D73" s="167" t="s">
        <v>448</v>
      </c>
      <c r="E73" s="167" t="s">
        <v>255</v>
      </c>
      <c r="F73" s="170">
        <v>66880.459799999997</v>
      </c>
      <c r="G73" s="168"/>
      <c r="H73" s="71"/>
      <c r="I73" s="71"/>
      <c r="J73" s="168"/>
      <c r="K73" s="329" t="s">
        <v>446</v>
      </c>
    </row>
    <row r="74" spans="2:11" ht="18.75" customHeight="1" x14ac:dyDescent="0.2">
      <c r="B74" s="389">
        <v>46036</v>
      </c>
      <c r="C74" s="349" t="s">
        <v>442</v>
      </c>
      <c r="D74" s="167" t="s">
        <v>447</v>
      </c>
      <c r="E74" s="167" t="s">
        <v>255</v>
      </c>
      <c r="F74" s="170">
        <v>163694.60639999999</v>
      </c>
      <c r="G74" s="201"/>
      <c r="H74" s="71"/>
      <c r="I74" s="71"/>
      <c r="J74" s="168"/>
      <c r="K74" s="338"/>
    </row>
    <row r="75" spans="2:11" ht="18.75" customHeight="1" x14ac:dyDescent="0.2">
      <c r="B75" s="389">
        <v>46055</v>
      </c>
      <c r="C75" s="349" t="s">
        <v>459</v>
      </c>
      <c r="D75" s="167" t="s">
        <v>244</v>
      </c>
      <c r="E75" s="167" t="s">
        <v>248</v>
      </c>
      <c r="F75" s="170">
        <v>295212</v>
      </c>
      <c r="G75" s="201"/>
      <c r="H75" s="71"/>
      <c r="I75" s="71"/>
      <c r="J75" s="168"/>
      <c r="K75" s="338"/>
    </row>
    <row r="76" spans="2:11" ht="18.75" customHeight="1" x14ac:dyDescent="0.2">
      <c r="B76" s="406">
        <v>46058</v>
      </c>
      <c r="C76" s="385" t="s">
        <v>460</v>
      </c>
      <c r="D76" s="256" t="s">
        <v>245</v>
      </c>
      <c r="E76" s="256" t="s">
        <v>249</v>
      </c>
      <c r="F76" s="257">
        <v>71327</v>
      </c>
      <c r="G76" s="258"/>
      <c r="H76" s="257">
        <v>71327</v>
      </c>
      <c r="I76" s="413">
        <v>46078</v>
      </c>
      <c r="J76" s="332"/>
      <c r="K76" s="337"/>
    </row>
    <row r="77" spans="2:11" ht="18.75" customHeight="1" x14ac:dyDescent="0.2">
      <c r="B77" s="389">
        <v>46057</v>
      </c>
      <c r="C77" s="349" t="s">
        <v>461</v>
      </c>
      <c r="D77" s="167" t="s">
        <v>246</v>
      </c>
      <c r="E77" s="167" t="s">
        <v>226</v>
      </c>
      <c r="F77" s="169">
        <v>1332.54</v>
      </c>
      <c r="G77" s="168"/>
      <c r="H77" s="71"/>
      <c r="I77" s="71"/>
      <c r="J77" s="168"/>
      <c r="K77" s="329"/>
    </row>
    <row r="78" spans="2:11" ht="18.75" customHeight="1" x14ac:dyDescent="0.2">
      <c r="B78" s="389">
        <v>46055</v>
      </c>
      <c r="C78" s="349" t="s">
        <v>462</v>
      </c>
      <c r="D78" s="71" t="s">
        <v>311</v>
      </c>
      <c r="E78" s="167" t="s">
        <v>250</v>
      </c>
      <c r="F78" s="169">
        <v>808.18</v>
      </c>
      <c r="G78" s="168"/>
      <c r="H78" s="71"/>
      <c r="I78" s="71"/>
      <c r="J78" s="168"/>
      <c r="K78" s="329"/>
    </row>
    <row r="79" spans="2:11" ht="18.75" customHeight="1" x14ac:dyDescent="0.2">
      <c r="B79" s="389">
        <v>46055</v>
      </c>
      <c r="C79" s="349" t="s">
        <v>463</v>
      </c>
      <c r="D79" s="167" t="s">
        <v>247</v>
      </c>
      <c r="E79" s="167" t="s">
        <v>250</v>
      </c>
      <c r="F79" s="169">
        <v>750</v>
      </c>
      <c r="G79" s="168"/>
      <c r="H79" s="71"/>
      <c r="I79" s="71"/>
      <c r="J79" s="168"/>
      <c r="K79" s="329"/>
    </row>
    <row r="80" spans="2:11" ht="18.75" customHeight="1" x14ac:dyDescent="0.2">
      <c r="B80" s="389">
        <v>46059</v>
      </c>
      <c r="C80" s="349" t="s">
        <v>464</v>
      </c>
      <c r="D80" s="167" t="s">
        <v>450</v>
      </c>
      <c r="E80" s="167" t="s">
        <v>255</v>
      </c>
      <c r="F80" s="170">
        <v>226933</v>
      </c>
      <c r="G80" s="168"/>
      <c r="H80" s="71"/>
      <c r="I80" s="71"/>
      <c r="J80" s="168"/>
      <c r="K80" s="329"/>
    </row>
    <row r="81" spans="2:11" ht="18.75" customHeight="1" x14ac:dyDescent="0.2">
      <c r="B81" s="389">
        <v>46058</v>
      </c>
      <c r="C81" s="349" t="s">
        <v>465</v>
      </c>
      <c r="D81" s="167" t="s">
        <v>449</v>
      </c>
      <c r="E81" s="167" t="s">
        <v>255</v>
      </c>
      <c r="F81" s="170">
        <v>150000</v>
      </c>
      <c r="G81" s="168"/>
      <c r="H81" s="71"/>
      <c r="I81" s="71"/>
      <c r="J81" s="168"/>
      <c r="K81" s="329"/>
    </row>
    <row r="82" spans="2:11" ht="18.75" customHeight="1" x14ac:dyDescent="0.2">
      <c r="B82" s="389">
        <v>46058</v>
      </c>
      <c r="C82" s="349" t="s">
        <v>466</v>
      </c>
      <c r="D82" s="167" t="s">
        <v>448</v>
      </c>
      <c r="E82" s="167" t="s">
        <v>255</v>
      </c>
      <c r="F82" s="170">
        <v>212989</v>
      </c>
      <c r="G82" s="168"/>
      <c r="H82" s="71"/>
      <c r="I82" s="71"/>
      <c r="J82" s="168"/>
      <c r="K82" s="329"/>
    </row>
    <row r="83" spans="2:11" ht="18.75" customHeight="1" x14ac:dyDescent="0.2">
      <c r="B83" s="389">
        <v>46036</v>
      </c>
      <c r="C83" s="349" t="s">
        <v>467</v>
      </c>
      <c r="D83" s="167" t="s">
        <v>447</v>
      </c>
      <c r="E83" s="167" t="s">
        <v>255</v>
      </c>
      <c r="F83" s="412">
        <v>46553</v>
      </c>
      <c r="G83" s="168"/>
      <c r="H83" s="71"/>
      <c r="I83" s="71"/>
      <c r="J83" s="168"/>
      <c r="K83" s="329"/>
    </row>
    <row r="84" spans="2:11" ht="18.75" customHeight="1" x14ac:dyDescent="0.2">
      <c r="B84" s="330"/>
      <c r="C84" s="167"/>
      <c r="D84" s="167"/>
      <c r="E84" s="167"/>
      <c r="F84" s="172"/>
      <c r="G84" s="168"/>
      <c r="H84" s="71"/>
      <c r="I84" s="71"/>
      <c r="J84" s="168"/>
      <c r="K84" s="329"/>
    </row>
    <row r="85" spans="2:11" ht="18.75" customHeight="1" x14ac:dyDescent="0.2">
      <c r="B85" s="330"/>
      <c r="C85" s="167"/>
      <c r="D85" s="167"/>
      <c r="E85" s="167"/>
      <c r="F85" s="172"/>
      <c r="G85" s="168"/>
      <c r="H85" s="71"/>
      <c r="I85" s="71"/>
      <c r="J85" s="168"/>
      <c r="K85" s="329"/>
    </row>
    <row r="86" spans="2:11" ht="18.75" customHeight="1" x14ac:dyDescent="0.2">
      <c r="B86" s="330"/>
      <c r="C86" s="167"/>
      <c r="D86" s="167"/>
      <c r="E86" s="167"/>
      <c r="F86" s="173"/>
      <c r="G86" s="168"/>
      <c r="H86" s="71"/>
      <c r="I86" s="71"/>
      <c r="J86" s="168"/>
      <c r="K86" s="329"/>
    </row>
    <row r="87" spans="2:11" ht="18.75" customHeight="1" x14ac:dyDescent="0.2">
      <c r="B87" s="330"/>
      <c r="C87" s="167"/>
      <c r="D87" s="167"/>
      <c r="E87" s="167"/>
      <c r="F87" s="174"/>
      <c r="G87" s="168"/>
      <c r="H87" s="71"/>
      <c r="I87" s="71"/>
      <c r="J87" s="168"/>
      <c r="K87" s="329"/>
    </row>
    <row r="88" spans="2:11" ht="18.75" customHeight="1" x14ac:dyDescent="0.2">
      <c r="B88" s="330"/>
      <c r="C88" s="167"/>
      <c r="D88" s="167"/>
      <c r="E88" s="167"/>
      <c r="F88" s="173"/>
      <c r="G88" s="168"/>
      <c r="H88" s="71"/>
      <c r="I88" s="71"/>
      <c r="J88" s="168"/>
      <c r="K88" s="329"/>
    </row>
    <row r="89" spans="2:11" ht="18.75" customHeight="1" x14ac:dyDescent="0.2">
      <c r="B89" s="330"/>
      <c r="C89" s="167"/>
      <c r="D89" s="167"/>
      <c r="E89" s="167"/>
      <c r="F89" s="175"/>
      <c r="G89" s="168"/>
      <c r="H89" s="71"/>
      <c r="I89" s="71"/>
      <c r="J89" s="168"/>
      <c r="K89" s="329"/>
    </row>
    <row r="90" spans="2:11" ht="18.75" customHeight="1" x14ac:dyDescent="0.2">
      <c r="B90" s="330"/>
      <c r="C90" s="167"/>
      <c r="D90" s="167"/>
      <c r="E90" s="167"/>
      <c r="F90" s="175"/>
      <c r="G90" s="168"/>
      <c r="H90" s="71"/>
      <c r="I90" s="71"/>
      <c r="J90" s="168"/>
      <c r="K90" s="329"/>
    </row>
    <row r="91" spans="2:11" ht="18.75" customHeight="1" x14ac:dyDescent="0.2">
      <c r="B91" s="330"/>
      <c r="C91" s="167"/>
      <c r="D91" s="167"/>
      <c r="E91" s="167"/>
      <c r="F91" s="175"/>
      <c r="G91" s="168"/>
      <c r="H91" s="71"/>
      <c r="I91" s="71"/>
      <c r="J91" s="168"/>
      <c r="K91" s="329"/>
    </row>
    <row r="92" spans="2:11" ht="18.75" customHeight="1" x14ac:dyDescent="0.2">
      <c r="B92" s="330"/>
      <c r="C92" s="167"/>
      <c r="D92" s="167"/>
      <c r="E92" s="167"/>
      <c r="F92" s="175"/>
      <c r="G92" s="168"/>
      <c r="H92" s="71"/>
      <c r="I92" s="71"/>
      <c r="J92" s="168"/>
      <c r="K92" s="329"/>
    </row>
    <row r="93" spans="2:11" ht="18.75" customHeight="1" x14ac:dyDescent="0.2">
      <c r="B93" s="330"/>
      <c r="C93" s="167"/>
      <c r="D93" s="167"/>
      <c r="E93" s="167"/>
      <c r="F93" s="175"/>
      <c r="G93" s="168"/>
      <c r="H93" s="71"/>
      <c r="I93" s="71"/>
      <c r="J93" s="168"/>
      <c r="K93" s="329"/>
    </row>
    <row r="94" spans="2:11" ht="18.75" customHeight="1" x14ac:dyDescent="0.2">
      <c r="B94" s="330"/>
      <c r="C94" s="167"/>
      <c r="D94" s="167"/>
      <c r="E94" s="167"/>
      <c r="F94" s="175"/>
      <c r="G94" s="168"/>
      <c r="H94" s="71"/>
      <c r="I94" s="71"/>
      <c r="J94" s="168"/>
      <c r="K94" s="329"/>
    </row>
    <row r="95" spans="2:11" ht="18.75" customHeight="1" x14ac:dyDescent="0.2">
      <c r="B95" s="330"/>
      <c r="C95" s="167"/>
      <c r="D95" s="167"/>
      <c r="E95" s="167"/>
      <c r="F95" s="175"/>
      <c r="G95" s="168"/>
      <c r="H95" s="71"/>
      <c r="I95" s="71"/>
      <c r="J95" s="168"/>
      <c r="K95" s="329"/>
    </row>
    <row r="96" spans="2:11" ht="18.75" customHeight="1" x14ac:dyDescent="0.2">
      <c r="B96" s="330"/>
      <c r="C96" s="167"/>
      <c r="D96" s="167"/>
      <c r="E96" s="167"/>
      <c r="F96" s="175"/>
      <c r="G96" s="168"/>
      <c r="H96" s="71"/>
      <c r="I96" s="71"/>
      <c r="J96" s="168"/>
      <c r="K96" s="329"/>
    </row>
    <row r="97" spans="2:11" ht="18.75" customHeight="1" x14ac:dyDescent="0.2">
      <c r="B97" s="331"/>
      <c r="C97" s="167"/>
      <c r="D97" s="167"/>
      <c r="E97" s="167"/>
      <c r="F97" s="175"/>
      <c r="G97" s="168"/>
      <c r="H97" s="71"/>
      <c r="I97" s="71"/>
      <c r="J97" s="168"/>
      <c r="K97" s="329"/>
    </row>
    <row r="98" spans="2:11" ht="18.75" customHeight="1" x14ac:dyDescent="0.2">
      <c r="B98" s="331"/>
      <c r="C98" s="167"/>
      <c r="D98" s="167"/>
      <c r="E98" s="167"/>
      <c r="F98" s="175"/>
      <c r="G98" s="168"/>
      <c r="H98" s="71"/>
      <c r="I98" s="71"/>
      <c r="J98" s="168"/>
      <c r="K98" s="329"/>
    </row>
    <row r="99" spans="2:11" ht="18.75" customHeight="1" x14ac:dyDescent="0.2">
      <c r="B99" s="331"/>
      <c r="C99" s="167"/>
      <c r="D99" s="167"/>
      <c r="E99" s="167"/>
      <c r="F99" s="175"/>
      <c r="G99" s="168"/>
      <c r="H99" s="71"/>
      <c r="I99" s="71"/>
      <c r="J99" s="168"/>
      <c r="K99" s="329"/>
    </row>
    <row r="100" spans="2:11" ht="18.75" customHeight="1" x14ac:dyDescent="0.2">
      <c r="B100" s="331"/>
      <c r="C100" s="167"/>
      <c r="D100" s="167"/>
      <c r="E100" s="167"/>
      <c r="F100" s="175"/>
      <c r="G100" s="168"/>
      <c r="H100" s="71"/>
      <c r="I100" s="71"/>
      <c r="J100" s="168"/>
      <c r="K100" s="329"/>
    </row>
    <row r="101" spans="2:11" ht="18.75" customHeight="1" x14ac:dyDescent="0.2">
      <c r="B101" s="331"/>
      <c r="C101" s="167"/>
      <c r="D101" s="167"/>
      <c r="E101" s="167"/>
      <c r="F101" s="175"/>
      <c r="G101" s="168"/>
      <c r="H101" s="71"/>
      <c r="I101" s="71"/>
      <c r="J101" s="168"/>
      <c r="K101" s="329"/>
    </row>
    <row r="102" spans="2:11" ht="18.75" customHeight="1" x14ac:dyDescent="0.2">
      <c r="B102" s="331"/>
      <c r="C102" s="167"/>
      <c r="D102" s="167"/>
      <c r="E102" s="167"/>
      <c r="F102" s="175"/>
      <c r="G102" s="168"/>
      <c r="H102" s="71"/>
      <c r="I102" s="71"/>
      <c r="J102" s="168"/>
      <c r="K102" s="329"/>
    </row>
    <row r="103" spans="2:11" ht="18.75" customHeight="1" x14ac:dyDescent="0.2">
      <c r="B103" s="331"/>
      <c r="C103" s="167"/>
      <c r="D103" s="167"/>
      <c r="E103" s="167"/>
      <c r="F103" s="175"/>
      <c r="G103" s="168"/>
      <c r="H103" s="71"/>
      <c r="I103" s="71"/>
      <c r="J103" s="168"/>
      <c r="K103" s="329"/>
    </row>
    <row r="104" spans="2:11" ht="18.75" customHeight="1" x14ac:dyDescent="0.2">
      <c r="B104" s="331"/>
      <c r="C104" s="167"/>
      <c r="D104" s="167"/>
      <c r="E104" s="167"/>
      <c r="F104" s="175"/>
      <c r="G104" s="168"/>
      <c r="H104" s="71"/>
      <c r="I104" s="71"/>
      <c r="J104" s="168"/>
      <c r="K104" s="329"/>
    </row>
    <row r="105" spans="2:11" ht="18.75" customHeight="1" x14ac:dyDescent="0.2">
      <c r="B105" s="331"/>
      <c r="C105" s="167"/>
      <c r="D105" s="167"/>
      <c r="E105" s="167"/>
      <c r="F105" s="175"/>
      <c r="G105" s="168"/>
      <c r="H105" s="71"/>
      <c r="I105" s="71"/>
      <c r="J105" s="168"/>
      <c r="K105" s="329"/>
    </row>
    <row r="106" spans="2:11" ht="18.75" customHeight="1" x14ac:dyDescent="0.2">
      <c r="B106" s="331"/>
      <c r="C106" s="167"/>
      <c r="D106" s="167"/>
      <c r="E106" s="167"/>
      <c r="F106" s="175"/>
      <c r="G106" s="168"/>
      <c r="H106" s="71"/>
      <c r="I106" s="71"/>
      <c r="J106" s="168"/>
      <c r="K106" s="329"/>
    </row>
    <row r="107" spans="2:11" ht="18.75" customHeight="1" x14ac:dyDescent="0.2">
      <c r="B107" s="331"/>
      <c r="C107" s="167"/>
      <c r="D107" s="167"/>
      <c r="E107" s="167"/>
      <c r="F107" s="175"/>
      <c r="G107" s="168"/>
      <c r="H107" s="71"/>
      <c r="I107" s="71"/>
      <c r="J107" s="168"/>
      <c r="K107" s="329"/>
    </row>
    <row r="108" spans="2:11" ht="18.75" customHeight="1" x14ac:dyDescent="0.2">
      <c r="B108" s="331"/>
      <c r="C108" s="167"/>
      <c r="D108" s="167"/>
      <c r="E108" s="167"/>
      <c r="F108" s="175"/>
      <c r="G108" s="168"/>
      <c r="H108" s="71"/>
      <c r="I108" s="71"/>
      <c r="J108" s="168"/>
      <c r="K108" s="329"/>
    </row>
    <row r="109" spans="2:11" ht="18.75" customHeight="1" x14ac:dyDescent="0.2">
      <c r="B109" s="331"/>
      <c r="C109" s="167"/>
      <c r="D109" s="167"/>
      <c r="E109" s="167"/>
      <c r="F109" s="175"/>
      <c r="G109" s="168"/>
      <c r="H109" s="71"/>
      <c r="I109" s="71"/>
      <c r="J109" s="168"/>
      <c r="K109" s="329"/>
    </row>
    <row r="110" spans="2:11" ht="18.75" customHeight="1" x14ac:dyDescent="0.2">
      <c r="B110" s="331"/>
      <c r="C110" s="167"/>
      <c r="D110" s="167"/>
      <c r="E110" s="167"/>
      <c r="F110" s="175"/>
      <c r="G110" s="168"/>
      <c r="H110" s="71"/>
      <c r="I110" s="71"/>
      <c r="J110" s="168"/>
      <c r="K110" s="329"/>
    </row>
    <row r="111" spans="2:11" ht="18.75" customHeight="1" x14ac:dyDescent="0.2">
      <c r="B111" s="331"/>
      <c r="C111" s="167"/>
      <c r="D111" s="167"/>
      <c r="E111" s="167"/>
      <c r="F111" s="175"/>
      <c r="G111" s="168"/>
      <c r="H111" s="71"/>
      <c r="I111" s="71"/>
      <c r="J111" s="168"/>
      <c r="K111" s="329"/>
    </row>
    <row r="112" spans="2:11" ht="18.75" customHeight="1" x14ac:dyDescent="0.2">
      <c r="B112" s="331"/>
      <c r="C112" s="167"/>
      <c r="D112" s="167"/>
      <c r="E112" s="167"/>
      <c r="F112" s="175"/>
      <c r="G112" s="168"/>
      <c r="H112" s="71"/>
      <c r="I112" s="71"/>
      <c r="J112" s="168"/>
      <c r="K112" s="329"/>
    </row>
    <row r="113" spans="2:11" ht="18.75" customHeight="1" x14ac:dyDescent="0.2">
      <c r="B113" s="331"/>
      <c r="C113" s="167"/>
      <c r="D113" s="167"/>
      <c r="E113" s="167"/>
      <c r="F113" s="175"/>
      <c r="G113" s="168"/>
      <c r="H113" s="71"/>
      <c r="I113" s="71"/>
      <c r="J113" s="168"/>
      <c r="K113" s="329"/>
    </row>
    <row r="114" spans="2:11" ht="18.75" customHeight="1" x14ac:dyDescent="0.2">
      <c r="B114" s="331"/>
      <c r="C114" s="167"/>
      <c r="D114" s="167"/>
      <c r="E114" s="167"/>
      <c r="F114" s="175"/>
      <c r="G114" s="168"/>
      <c r="H114" s="71"/>
      <c r="I114" s="71"/>
      <c r="J114" s="168"/>
      <c r="K114" s="329"/>
    </row>
    <row r="115" spans="2:11" ht="18.75" customHeight="1" x14ac:dyDescent="0.2">
      <c r="B115" s="331"/>
      <c r="C115" s="167"/>
      <c r="D115" s="167"/>
      <c r="E115" s="167"/>
      <c r="F115" s="175"/>
      <c r="G115" s="168"/>
      <c r="H115" s="71"/>
      <c r="I115" s="71"/>
      <c r="J115" s="168"/>
      <c r="K115" s="329"/>
    </row>
    <row r="116" spans="2:11" ht="18.75" customHeight="1" x14ac:dyDescent="0.2">
      <c r="B116" s="331"/>
      <c r="C116" s="167"/>
      <c r="D116" s="167"/>
      <c r="E116" s="167"/>
      <c r="F116" s="175"/>
      <c r="G116" s="168"/>
      <c r="H116" s="71"/>
      <c r="I116" s="71"/>
      <c r="J116" s="168"/>
      <c r="K116" s="329"/>
    </row>
    <row r="117" spans="2:11" ht="18.75" customHeight="1" x14ac:dyDescent="0.2">
      <c r="B117" s="331"/>
      <c r="C117" s="167"/>
      <c r="D117" s="167"/>
      <c r="E117" s="167"/>
      <c r="F117" s="175"/>
      <c r="G117" s="168"/>
      <c r="H117" s="71"/>
      <c r="I117" s="71"/>
      <c r="J117" s="168"/>
      <c r="K117" s="329"/>
    </row>
    <row r="118" spans="2:11" ht="18.75" customHeight="1" x14ac:dyDescent="0.2">
      <c r="B118" s="331"/>
      <c r="C118" s="167"/>
      <c r="D118" s="167"/>
      <c r="E118" s="167"/>
      <c r="F118" s="175"/>
      <c r="G118" s="168"/>
      <c r="H118" s="71"/>
      <c r="I118" s="71"/>
      <c r="J118" s="168"/>
      <c r="K118" s="329"/>
    </row>
    <row r="119" spans="2:11" ht="18.75" customHeight="1" x14ac:dyDescent="0.2">
      <c r="B119" s="331"/>
      <c r="C119" s="167"/>
      <c r="D119" s="167"/>
      <c r="E119" s="167"/>
      <c r="F119" s="175"/>
      <c r="G119" s="168"/>
      <c r="H119" s="71"/>
      <c r="I119" s="71"/>
      <c r="J119" s="168"/>
      <c r="K119" s="329"/>
    </row>
    <row r="120" spans="2:11" ht="18.75" customHeight="1" x14ac:dyDescent="0.2">
      <c r="B120" s="331"/>
      <c r="C120" s="167"/>
      <c r="D120" s="167"/>
      <c r="E120" s="167"/>
      <c r="F120" s="175"/>
      <c r="G120" s="168"/>
      <c r="H120" s="71"/>
      <c r="I120" s="71"/>
      <c r="J120" s="168"/>
      <c r="K120" s="329"/>
    </row>
    <row r="121" spans="2:11" ht="18.75" customHeight="1" x14ac:dyDescent="0.2">
      <c r="B121" s="331"/>
      <c r="C121" s="167"/>
      <c r="D121" s="167"/>
      <c r="E121" s="167"/>
      <c r="F121" s="175"/>
      <c r="G121" s="168"/>
      <c r="H121" s="71"/>
      <c r="I121" s="71"/>
      <c r="J121" s="168"/>
      <c r="K121" s="329"/>
    </row>
    <row r="122" spans="2:11" ht="18.75" customHeight="1" x14ac:dyDescent="0.2">
      <c r="B122" s="331"/>
      <c r="C122" s="167"/>
      <c r="D122" s="167"/>
      <c r="E122" s="167"/>
      <c r="F122" s="175"/>
      <c r="G122" s="168"/>
      <c r="H122" s="71"/>
      <c r="I122" s="71"/>
      <c r="J122" s="168"/>
      <c r="K122" s="329"/>
    </row>
    <row r="123" spans="2:11" ht="18.75" customHeight="1" x14ac:dyDescent="0.2">
      <c r="B123" s="331"/>
      <c r="C123" s="167"/>
      <c r="D123" s="167"/>
      <c r="E123" s="167"/>
      <c r="F123" s="175"/>
      <c r="G123" s="168"/>
      <c r="H123" s="71"/>
      <c r="I123" s="71"/>
      <c r="J123" s="168"/>
      <c r="K123" s="329"/>
    </row>
    <row r="124" spans="2:11" ht="18.75" customHeight="1" x14ac:dyDescent="0.2">
      <c r="B124" s="331"/>
      <c r="C124" s="167"/>
      <c r="D124" s="167"/>
      <c r="E124" s="167"/>
      <c r="F124" s="175"/>
      <c r="G124" s="168"/>
      <c r="H124" s="71"/>
      <c r="I124" s="71"/>
      <c r="J124" s="168"/>
      <c r="K124" s="329"/>
    </row>
    <row r="125" spans="2:11" ht="18.75" customHeight="1" x14ac:dyDescent="0.2">
      <c r="B125" s="331"/>
      <c r="C125" s="167"/>
      <c r="D125" s="167"/>
      <c r="E125" s="167"/>
      <c r="F125" s="175"/>
      <c r="G125" s="168"/>
      <c r="H125" s="71"/>
      <c r="I125" s="71"/>
      <c r="J125" s="168"/>
      <c r="K125" s="329"/>
    </row>
    <row r="126" spans="2:11" ht="18.75" customHeight="1" x14ac:dyDescent="0.2">
      <c r="B126" s="331"/>
      <c r="C126" s="167"/>
      <c r="D126" s="167"/>
      <c r="E126" s="167"/>
      <c r="F126" s="175"/>
      <c r="G126" s="168"/>
      <c r="H126" s="71"/>
      <c r="I126" s="71"/>
      <c r="J126" s="168"/>
      <c r="K126" s="329"/>
    </row>
    <row r="127" spans="2:11" ht="18.75" customHeight="1" x14ac:dyDescent="0.2">
      <c r="B127" s="331"/>
      <c r="C127" s="167"/>
      <c r="D127" s="167"/>
      <c r="E127" s="167"/>
      <c r="F127" s="175"/>
      <c r="G127" s="168"/>
      <c r="H127" s="71"/>
      <c r="I127" s="71"/>
      <c r="J127" s="168"/>
      <c r="K127" s="329"/>
    </row>
    <row r="128" spans="2:11" ht="18.75" customHeight="1" x14ac:dyDescent="0.2">
      <c r="B128" s="331"/>
      <c r="C128" s="167"/>
      <c r="D128" s="167"/>
      <c r="E128" s="167"/>
      <c r="F128" s="175"/>
      <c r="G128" s="168"/>
      <c r="H128" s="71"/>
      <c r="I128" s="71"/>
      <c r="J128" s="168"/>
      <c r="K128" s="329"/>
    </row>
    <row r="129" spans="2:11" ht="18.75" customHeight="1" x14ac:dyDescent="0.2">
      <c r="B129" s="331"/>
      <c r="C129" s="167"/>
      <c r="D129" s="167"/>
      <c r="E129" s="167"/>
      <c r="F129" s="175"/>
      <c r="G129" s="168"/>
      <c r="H129" s="71"/>
      <c r="I129" s="71"/>
      <c r="J129" s="168"/>
      <c r="K129" s="329"/>
    </row>
    <row r="130" spans="2:11" ht="18.75" customHeight="1" x14ac:dyDescent="0.2">
      <c r="B130" s="331"/>
      <c r="C130" s="167"/>
      <c r="D130" s="167"/>
      <c r="E130" s="167"/>
      <c r="F130" s="175"/>
      <c r="G130" s="168"/>
      <c r="H130" s="71"/>
      <c r="I130" s="71"/>
      <c r="J130" s="168"/>
      <c r="K130" s="329"/>
    </row>
    <row r="131" spans="2:11" ht="18.75" customHeight="1" x14ac:dyDescent="0.2">
      <c r="B131" s="331"/>
      <c r="C131" s="167"/>
      <c r="D131" s="167"/>
      <c r="E131" s="167"/>
      <c r="F131" s="175"/>
      <c r="G131" s="168"/>
      <c r="H131" s="71"/>
      <c r="I131" s="71"/>
      <c r="J131" s="168"/>
      <c r="K131" s="329"/>
    </row>
    <row r="132" spans="2:11" ht="18.75" customHeight="1" x14ac:dyDescent="0.2">
      <c r="B132" s="331"/>
      <c r="C132" s="167"/>
      <c r="D132" s="167"/>
      <c r="E132" s="167"/>
      <c r="F132" s="175"/>
      <c r="G132" s="168"/>
      <c r="H132" s="71"/>
      <c r="I132" s="71"/>
      <c r="J132" s="168"/>
      <c r="K132" s="329"/>
    </row>
    <row r="133" spans="2:11" ht="18.75" customHeight="1" x14ac:dyDescent="0.2">
      <c r="B133" s="331"/>
      <c r="C133" s="167"/>
      <c r="D133" s="167"/>
      <c r="E133" s="167"/>
      <c r="F133" s="175"/>
      <c r="G133" s="168"/>
      <c r="H133" s="71"/>
      <c r="I133" s="71"/>
      <c r="J133" s="168"/>
      <c r="K133" s="329"/>
    </row>
    <row r="134" spans="2:11" ht="18.75" customHeight="1" x14ac:dyDescent="0.2">
      <c r="B134" s="331"/>
      <c r="C134" s="167"/>
      <c r="D134" s="167"/>
      <c r="E134" s="167"/>
      <c r="F134" s="175"/>
      <c r="G134" s="168"/>
      <c r="H134" s="71"/>
      <c r="I134" s="71"/>
      <c r="J134" s="168"/>
      <c r="K134" s="329"/>
    </row>
    <row r="135" spans="2:11" ht="18.75" customHeight="1" x14ac:dyDescent="0.2">
      <c r="B135" s="331"/>
      <c r="C135" s="167"/>
      <c r="D135" s="167"/>
      <c r="E135" s="167"/>
      <c r="F135" s="175"/>
      <c r="G135" s="168"/>
      <c r="H135" s="71"/>
      <c r="I135" s="71"/>
      <c r="J135" s="168"/>
      <c r="K135" s="329"/>
    </row>
    <row r="136" spans="2:11" ht="18.75" customHeight="1" x14ac:dyDescent="0.2">
      <c r="B136" s="331"/>
      <c r="C136" s="167"/>
      <c r="D136" s="167"/>
      <c r="E136" s="167"/>
      <c r="F136" s="175"/>
      <c r="G136" s="168"/>
      <c r="H136" s="71"/>
      <c r="I136" s="71"/>
      <c r="J136" s="168"/>
      <c r="K136" s="329"/>
    </row>
    <row r="137" spans="2:11" ht="18.75" customHeight="1" x14ac:dyDescent="0.2">
      <c r="B137" s="331"/>
      <c r="C137" s="167"/>
      <c r="D137" s="167"/>
      <c r="E137" s="167"/>
      <c r="F137" s="175"/>
      <c r="G137" s="168"/>
      <c r="H137" s="71"/>
      <c r="I137" s="71"/>
      <c r="J137" s="168"/>
      <c r="K137" s="329"/>
    </row>
    <row r="138" spans="2:11" ht="18.75" customHeight="1" x14ac:dyDescent="0.2">
      <c r="B138" s="331"/>
      <c r="C138" s="167"/>
      <c r="D138" s="167"/>
      <c r="E138" s="167"/>
      <c r="F138" s="175"/>
      <c r="G138" s="168"/>
      <c r="H138" s="71"/>
      <c r="I138" s="71"/>
      <c r="J138" s="168"/>
      <c r="K138" s="329"/>
    </row>
    <row r="139" spans="2:11" ht="18.75" customHeight="1" x14ac:dyDescent="0.2">
      <c r="B139" s="331"/>
      <c r="C139" s="167"/>
      <c r="D139" s="167"/>
      <c r="E139" s="167"/>
      <c r="F139" s="175"/>
      <c r="G139" s="168"/>
      <c r="H139" s="71"/>
      <c r="I139" s="71"/>
      <c r="J139" s="168"/>
      <c r="K139" s="329"/>
    </row>
    <row r="140" spans="2:11" ht="18.75" customHeight="1" x14ac:dyDescent="0.2">
      <c r="B140" s="331"/>
      <c r="C140" s="167"/>
      <c r="D140" s="167"/>
      <c r="E140" s="167"/>
      <c r="F140" s="175"/>
      <c r="G140" s="168"/>
      <c r="H140" s="71"/>
      <c r="I140" s="71"/>
      <c r="J140" s="168"/>
      <c r="K140" s="329"/>
    </row>
    <row r="141" spans="2:11" ht="18.75" customHeight="1" x14ac:dyDescent="0.2">
      <c r="B141" s="331"/>
      <c r="C141" s="167"/>
      <c r="D141" s="167"/>
      <c r="E141" s="167"/>
      <c r="F141" s="175"/>
      <c r="G141" s="168"/>
      <c r="H141" s="71"/>
      <c r="I141" s="71"/>
      <c r="J141" s="168"/>
      <c r="K141" s="329"/>
    </row>
    <row r="142" spans="2:11" ht="18.75" customHeight="1" x14ac:dyDescent="0.2">
      <c r="B142" s="331"/>
      <c r="C142" s="167"/>
      <c r="D142" s="167"/>
      <c r="E142" s="167"/>
      <c r="F142" s="175"/>
      <c r="G142" s="168"/>
      <c r="H142" s="71"/>
      <c r="I142" s="71"/>
      <c r="J142" s="168"/>
      <c r="K142" s="329"/>
    </row>
    <row r="143" spans="2:11" ht="18.75" customHeight="1" x14ac:dyDescent="0.2">
      <c r="B143" s="331"/>
      <c r="C143" s="167"/>
      <c r="D143" s="167"/>
      <c r="E143" s="167"/>
      <c r="F143" s="175"/>
      <c r="G143" s="168"/>
      <c r="H143" s="71"/>
      <c r="I143" s="71"/>
      <c r="J143" s="168"/>
      <c r="K143" s="329"/>
    </row>
    <row r="144" spans="2:11" ht="18.75" customHeight="1" x14ac:dyDescent="0.2">
      <c r="B144" s="331"/>
      <c r="C144" s="167"/>
      <c r="D144" s="167"/>
      <c r="E144" s="167"/>
      <c r="F144" s="175"/>
      <c r="G144" s="168"/>
      <c r="H144" s="71"/>
      <c r="I144" s="71"/>
      <c r="J144" s="168"/>
      <c r="K144" s="329"/>
    </row>
    <row r="145" spans="2:11" ht="18.75" customHeight="1" x14ac:dyDescent="0.2">
      <c r="B145" s="331"/>
      <c r="C145" s="167"/>
      <c r="D145" s="167"/>
      <c r="E145" s="167"/>
      <c r="F145" s="175"/>
      <c r="G145" s="168"/>
      <c r="H145" s="71"/>
      <c r="I145" s="71"/>
      <c r="J145" s="168"/>
      <c r="K145" s="329"/>
    </row>
    <row r="146" spans="2:11" ht="18.75" customHeight="1" x14ac:dyDescent="0.2">
      <c r="B146" s="331"/>
      <c r="C146" s="167"/>
      <c r="D146" s="167"/>
      <c r="E146" s="167"/>
      <c r="F146" s="175"/>
      <c r="G146" s="168"/>
      <c r="H146" s="71"/>
      <c r="I146" s="71"/>
      <c r="J146" s="168"/>
      <c r="K146" s="329"/>
    </row>
    <row r="147" spans="2:11" ht="18.75" customHeight="1" x14ac:dyDescent="0.2">
      <c r="B147" s="331"/>
      <c r="C147" s="167"/>
      <c r="D147" s="167"/>
      <c r="E147" s="167"/>
      <c r="F147" s="175"/>
      <c r="G147" s="168"/>
      <c r="H147" s="71"/>
      <c r="I147" s="71"/>
      <c r="J147" s="168"/>
      <c r="K147" s="329"/>
    </row>
    <row r="148" spans="2:11" ht="18.75" customHeight="1" x14ac:dyDescent="0.2">
      <c r="B148" s="331"/>
      <c r="C148" s="167"/>
      <c r="D148" s="167"/>
      <c r="E148" s="167"/>
      <c r="F148" s="175"/>
      <c r="G148" s="168"/>
      <c r="H148" s="71"/>
      <c r="I148" s="71"/>
      <c r="J148" s="168"/>
      <c r="K148" s="329"/>
    </row>
    <row r="149" spans="2:11" ht="18.75" customHeight="1" x14ac:dyDescent="0.2">
      <c r="B149" s="331"/>
      <c r="C149" s="167"/>
      <c r="D149" s="167"/>
      <c r="E149" s="167"/>
      <c r="F149" s="335"/>
      <c r="G149" s="336"/>
      <c r="H149" s="71"/>
      <c r="I149" s="71"/>
      <c r="J149" s="336"/>
      <c r="K149" s="340"/>
    </row>
    <row r="150" spans="2:11" ht="18.75" customHeight="1" thickBot="1" x14ac:dyDescent="0.25">
      <c r="B150" s="341"/>
      <c r="C150" s="342"/>
      <c r="D150" s="342"/>
      <c r="E150" s="342"/>
      <c r="F150" s="343"/>
      <c r="G150" s="344"/>
      <c r="H150" s="345"/>
      <c r="I150" s="345"/>
      <c r="J150" s="344"/>
      <c r="K150" s="346"/>
    </row>
  </sheetData>
  <dataConsolidate/>
  <phoneticPr fontId="2"/>
  <dataValidations count="4">
    <dataValidation type="list" allowBlank="1" showInputMessage="1" showErrorMessage="1" sqref="D83 D90:D92 D85:D88 D94:D150" xr:uid="{00000000-0002-0000-0100-00000D000000}">
      <formula1>"Hawaii Honolulu,Ha Noi Kim Ma,Trieu Viet Vuong,TEPPAN CHIBO Bangkok,大洋百货福州中城店,Hong Kong Mongkok,漢神巨蛋購物廣場店,Chibo Jakarta,蘇州イオンモール常熟新区店,Malaysia KL,"</formula1>
    </dataValidation>
    <dataValidation type="list" allowBlank="1" showInputMessage="1" showErrorMessage="1" sqref="D89 D93 D84" xr:uid="{00000000-0002-0000-0100-000010000000}">
      <formula1>"Hawaii Honolulu,Ha Noi Kim Ma,Trieu Viet Vuong,TEPPAN CHIBO Bangkok,大洋百货福州中城店,Hong Kong Mongkok,漢神巨蛋購物廣場店,高雄漢神成功店,Chibo Jakarta,蘇州イオンモール常熟新区店,Malaysia KL,"</formula1>
    </dataValidation>
    <dataValidation type="list" allowBlank="1" showInputMessage="1" showErrorMessage="1" sqref="E4:E150" xr:uid="{00000000-0002-0000-0100-000001000000}">
      <formula1>"USA,Taiwan,China,Philippines,Vietnam,Korea,"</formula1>
    </dataValidation>
    <dataValidation type="list" allowBlank="1" showInputMessage="1" showErrorMessage="1" sqref="D4:D82" xr:uid="{00000000-0002-0000-0100-000005000000}">
      <formula1>"阪急寧波店,Mitsukoshi BGC,漢神巨蛋購物廣場店,Ha Noi Kim Ma,Trung Hòa Nhân Chính,KR1 Gangnam Sinsa,KR2 宣陵店,KR3 龍山三角地,KR Goraewa 大田,"</formula1>
    </dataValidation>
  </dataValidations>
  <pageMargins left="0.70866141732283472" right="0.70866141732283472" top="0.74803149606299213" bottom="0.74803149606299213" header="0.31496062992125984" footer="0.31496062992125984"/>
  <pageSetup paperSize="9" scale="7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FAFD"/>
  </sheetPr>
  <dimension ref="A1:H50"/>
  <sheetViews>
    <sheetView zoomScaleNormal="100" workbookViewId="0">
      <pane xSplit="1" ySplit="3" topLeftCell="B4" activePane="bottomRight" state="frozen"/>
      <selection activeCell="E8" sqref="E8"/>
      <selection pane="topRight" activeCell="E8" sqref="E8"/>
      <selection pane="bottomLeft" activeCell="E8" sqref="E8"/>
      <selection pane="bottomRight" activeCell="D11" sqref="D11"/>
    </sheetView>
  </sheetViews>
  <sheetFormatPr defaultRowHeight="14" x14ac:dyDescent="0.2"/>
  <cols>
    <col min="1" max="1" width="2.08984375" style="1" customWidth="1"/>
    <col min="2" max="2" width="20.6328125" style="16" customWidth="1"/>
    <col min="3" max="3" width="25.36328125" style="1" customWidth="1"/>
    <col min="4" max="4" width="22" style="1" customWidth="1"/>
    <col min="5" max="5" width="18.54296875" style="401" customWidth="1"/>
    <col min="6" max="6" width="28.90625" style="1" customWidth="1"/>
    <col min="7" max="7" width="69.90625" style="11" bestFit="1" customWidth="1"/>
    <col min="8" max="8" width="20.90625" style="10" customWidth="1"/>
  </cols>
  <sheetData>
    <row r="1" spans="2:8" ht="32" customHeight="1" x14ac:dyDescent="0.2">
      <c r="B1" s="17" t="s">
        <v>378</v>
      </c>
      <c r="C1" s="3"/>
    </row>
    <row r="2" spans="2:8" ht="26.25" customHeight="1" thickBot="1" x14ac:dyDescent="0.25">
      <c r="B2" s="98" t="s">
        <v>183</v>
      </c>
      <c r="G2" s="319" t="s">
        <v>184</v>
      </c>
    </row>
    <row r="3" spans="2:8" s="1" customFormat="1" ht="28.5" customHeight="1" x14ac:dyDescent="0.2">
      <c r="B3" s="306" t="s">
        <v>192</v>
      </c>
      <c r="C3" s="307" t="s">
        <v>187</v>
      </c>
      <c r="D3" s="307" t="s">
        <v>189</v>
      </c>
      <c r="E3" s="402" t="s">
        <v>190</v>
      </c>
      <c r="F3" s="307" t="s">
        <v>191</v>
      </c>
      <c r="G3" s="308" t="s">
        <v>194</v>
      </c>
      <c r="H3" s="309" t="s">
        <v>195</v>
      </c>
    </row>
    <row r="4" spans="2:8" ht="18.75" customHeight="1" x14ac:dyDescent="0.2">
      <c r="B4" s="320" t="s">
        <v>380</v>
      </c>
      <c r="C4" s="321" t="s">
        <v>379</v>
      </c>
      <c r="D4" s="323" t="s">
        <v>256</v>
      </c>
      <c r="E4" s="387" t="s">
        <v>255</v>
      </c>
      <c r="F4" s="322" t="s">
        <v>381</v>
      </c>
      <c r="G4" s="324">
        <v>45971</v>
      </c>
      <c r="H4" s="347">
        <v>124676</v>
      </c>
    </row>
    <row r="5" spans="2:8" ht="18.75" customHeight="1" x14ac:dyDescent="0.2">
      <c r="B5" s="320" t="s">
        <v>380</v>
      </c>
      <c r="C5" s="322" t="s">
        <v>382</v>
      </c>
      <c r="D5" s="323" t="s">
        <v>256</v>
      </c>
      <c r="E5" s="387" t="s">
        <v>255</v>
      </c>
      <c r="F5" s="322" t="s">
        <v>383</v>
      </c>
      <c r="G5" s="324">
        <v>45971</v>
      </c>
      <c r="H5" s="348">
        <v>86790</v>
      </c>
    </row>
    <row r="6" spans="2:8" ht="18.75" customHeight="1" x14ac:dyDescent="0.2">
      <c r="B6" s="320" t="s">
        <v>385</v>
      </c>
      <c r="C6" s="321" t="s">
        <v>384</v>
      </c>
      <c r="D6" s="323" t="s">
        <v>256</v>
      </c>
      <c r="E6" s="387" t="s">
        <v>255</v>
      </c>
      <c r="F6" s="322" t="s">
        <v>386</v>
      </c>
      <c r="G6" s="414">
        <v>46055</v>
      </c>
      <c r="H6" s="388">
        <v>550950</v>
      </c>
    </row>
    <row r="7" spans="2:8" ht="18.75" customHeight="1" x14ac:dyDescent="0.2">
      <c r="B7" s="320" t="s">
        <v>390</v>
      </c>
      <c r="C7" s="321" t="s">
        <v>387</v>
      </c>
      <c r="D7" s="323" t="s">
        <v>311</v>
      </c>
      <c r="E7" s="387" t="s">
        <v>250</v>
      </c>
      <c r="F7" s="322" t="s">
        <v>386</v>
      </c>
      <c r="G7" s="324">
        <v>45960</v>
      </c>
      <c r="H7" s="325">
        <v>232950</v>
      </c>
    </row>
    <row r="8" spans="2:8" ht="18.75" customHeight="1" x14ac:dyDescent="0.2">
      <c r="B8" s="320" t="s">
        <v>390</v>
      </c>
      <c r="C8" s="321" t="s">
        <v>388</v>
      </c>
      <c r="D8" s="323" t="s">
        <v>245</v>
      </c>
      <c r="E8" s="387" t="s">
        <v>249</v>
      </c>
      <c r="F8" s="322" t="s">
        <v>386</v>
      </c>
      <c r="G8" s="324">
        <v>46002</v>
      </c>
      <c r="H8" s="325">
        <v>411151</v>
      </c>
    </row>
    <row r="9" spans="2:8" ht="18.75" customHeight="1" x14ac:dyDescent="0.2">
      <c r="B9" s="310" t="s">
        <v>391</v>
      </c>
      <c r="C9" s="302" t="s">
        <v>389</v>
      </c>
      <c r="D9" s="303" t="s">
        <v>256</v>
      </c>
      <c r="E9" s="399" t="s">
        <v>255</v>
      </c>
      <c r="F9" s="304" t="s">
        <v>392</v>
      </c>
      <c r="G9" s="305"/>
      <c r="H9" s="326">
        <v>352790</v>
      </c>
    </row>
    <row r="10" spans="2:8" ht="18.75" customHeight="1" x14ac:dyDescent="0.2">
      <c r="B10" s="320" t="s">
        <v>432</v>
      </c>
      <c r="C10" s="321" t="s">
        <v>416</v>
      </c>
      <c r="D10" s="387" t="s">
        <v>311</v>
      </c>
      <c r="E10" s="387" t="s">
        <v>250</v>
      </c>
      <c r="F10" s="322" t="s">
        <v>386</v>
      </c>
      <c r="G10" s="324">
        <v>46021</v>
      </c>
      <c r="H10" s="388">
        <v>219508</v>
      </c>
    </row>
    <row r="11" spans="2:8" ht="18.75" customHeight="1" x14ac:dyDescent="0.2">
      <c r="B11" s="420" t="s">
        <v>418</v>
      </c>
      <c r="C11" s="421" t="s">
        <v>417</v>
      </c>
      <c r="D11" s="415" t="s">
        <v>256</v>
      </c>
      <c r="E11" s="416" t="s">
        <v>255</v>
      </c>
      <c r="F11" s="417" t="s">
        <v>392</v>
      </c>
      <c r="G11" s="418" t="s">
        <v>468</v>
      </c>
      <c r="H11" s="419">
        <v>505403</v>
      </c>
    </row>
    <row r="12" spans="2:8" ht="18.75" customHeight="1" x14ac:dyDescent="0.2">
      <c r="B12" s="398">
        <v>46042</v>
      </c>
      <c r="C12" s="302" t="s">
        <v>453</v>
      </c>
      <c r="D12" s="303" t="s">
        <v>448</v>
      </c>
      <c r="E12" s="399" t="s">
        <v>255</v>
      </c>
      <c r="F12" s="400" t="s">
        <v>454</v>
      </c>
      <c r="G12" s="301"/>
      <c r="H12" s="405">
        <v>235480</v>
      </c>
    </row>
    <row r="13" spans="2:8" ht="18.75" customHeight="1" x14ac:dyDescent="0.2">
      <c r="B13" s="311"/>
      <c r="C13" s="300"/>
      <c r="D13" s="298"/>
      <c r="E13" s="399"/>
      <c r="F13" s="299"/>
      <c r="G13" s="301"/>
      <c r="H13" s="312"/>
    </row>
    <row r="14" spans="2:8" ht="18.75" customHeight="1" x14ac:dyDescent="0.2">
      <c r="B14" s="311"/>
      <c r="C14" s="300"/>
      <c r="D14" s="298"/>
      <c r="E14" s="399"/>
      <c r="F14" s="299"/>
      <c r="G14" s="301"/>
      <c r="H14" s="312"/>
    </row>
    <row r="15" spans="2:8" ht="18.75" customHeight="1" x14ac:dyDescent="0.2">
      <c r="B15" s="311"/>
      <c r="C15" s="300"/>
      <c r="D15" s="298"/>
      <c r="E15" s="399"/>
      <c r="F15" s="299"/>
      <c r="G15" s="301"/>
      <c r="H15" s="312"/>
    </row>
    <row r="16" spans="2:8" ht="18.75" customHeight="1" x14ac:dyDescent="0.2">
      <c r="B16" s="311"/>
      <c r="C16" s="300"/>
      <c r="D16" s="298"/>
      <c r="E16" s="399"/>
      <c r="F16" s="299"/>
      <c r="G16" s="301"/>
      <c r="H16" s="312"/>
    </row>
    <row r="17" spans="2:8" ht="18.75" customHeight="1" x14ac:dyDescent="0.2">
      <c r="B17" s="311"/>
      <c r="C17" s="300"/>
      <c r="D17" s="298"/>
      <c r="E17" s="399"/>
      <c r="F17" s="299"/>
      <c r="G17" s="301"/>
      <c r="H17" s="312"/>
    </row>
    <row r="18" spans="2:8" ht="18.75" customHeight="1" x14ac:dyDescent="0.2">
      <c r="B18" s="311"/>
      <c r="C18" s="300"/>
      <c r="D18" s="298"/>
      <c r="E18" s="399"/>
      <c r="F18" s="299"/>
      <c r="G18" s="301"/>
      <c r="H18" s="312"/>
    </row>
    <row r="19" spans="2:8" ht="18.75" customHeight="1" x14ac:dyDescent="0.2">
      <c r="B19" s="311"/>
      <c r="C19" s="300"/>
      <c r="D19" s="298"/>
      <c r="E19" s="399"/>
      <c r="F19" s="299"/>
      <c r="G19" s="301"/>
      <c r="H19" s="312"/>
    </row>
    <row r="20" spans="2:8" ht="18.75" customHeight="1" x14ac:dyDescent="0.2">
      <c r="B20" s="311"/>
      <c r="C20" s="300"/>
      <c r="D20" s="298"/>
      <c r="E20" s="399"/>
      <c r="F20" s="299"/>
      <c r="G20" s="301"/>
      <c r="H20" s="312"/>
    </row>
    <row r="21" spans="2:8" ht="18.75" customHeight="1" x14ac:dyDescent="0.2">
      <c r="B21" s="311"/>
      <c r="C21" s="300"/>
      <c r="D21" s="298"/>
      <c r="E21" s="399"/>
      <c r="F21" s="299"/>
      <c r="G21" s="301"/>
      <c r="H21" s="312"/>
    </row>
    <row r="22" spans="2:8" ht="18.75" customHeight="1" x14ac:dyDescent="0.2">
      <c r="B22" s="311"/>
      <c r="C22" s="300"/>
      <c r="D22" s="298"/>
      <c r="E22" s="399"/>
      <c r="F22" s="299"/>
      <c r="G22" s="301"/>
      <c r="H22" s="312"/>
    </row>
    <row r="23" spans="2:8" ht="18.75" customHeight="1" x14ac:dyDescent="0.2">
      <c r="B23" s="311"/>
      <c r="C23" s="300"/>
      <c r="D23" s="298"/>
      <c r="E23" s="399"/>
      <c r="F23" s="299"/>
      <c r="G23" s="301"/>
      <c r="H23" s="312"/>
    </row>
    <row r="24" spans="2:8" ht="18.75" customHeight="1" x14ac:dyDescent="0.2">
      <c r="B24" s="311"/>
      <c r="C24" s="300"/>
      <c r="D24" s="298"/>
      <c r="E24" s="399"/>
      <c r="F24" s="299"/>
      <c r="G24" s="301"/>
      <c r="H24" s="312"/>
    </row>
    <row r="25" spans="2:8" ht="18.75" customHeight="1" x14ac:dyDescent="0.2">
      <c r="B25" s="311"/>
      <c r="C25" s="300"/>
      <c r="D25" s="298"/>
      <c r="E25" s="399"/>
      <c r="F25" s="299"/>
      <c r="G25" s="301"/>
      <c r="H25" s="312"/>
    </row>
    <row r="26" spans="2:8" ht="18.75" customHeight="1" x14ac:dyDescent="0.2">
      <c r="B26" s="311"/>
      <c r="C26" s="300"/>
      <c r="D26" s="298"/>
      <c r="E26" s="399"/>
      <c r="F26" s="299"/>
      <c r="G26" s="301"/>
      <c r="H26" s="312"/>
    </row>
    <row r="27" spans="2:8" ht="18.75" customHeight="1" x14ac:dyDescent="0.2">
      <c r="B27" s="311"/>
      <c r="C27" s="300"/>
      <c r="D27" s="298"/>
      <c r="E27" s="399"/>
      <c r="F27" s="299"/>
      <c r="G27" s="301"/>
      <c r="H27" s="312"/>
    </row>
    <row r="28" spans="2:8" ht="18.75" customHeight="1" x14ac:dyDescent="0.2">
      <c r="B28" s="311"/>
      <c r="C28" s="300"/>
      <c r="D28" s="298"/>
      <c r="E28" s="399"/>
      <c r="F28" s="299"/>
      <c r="G28" s="301"/>
      <c r="H28" s="312"/>
    </row>
    <row r="29" spans="2:8" ht="18.75" customHeight="1" x14ac:dyDescent="0.2">
      <c r="B29" s="311"/>
      <c r="C29" s="300"/>
      <c r="D29" s="298"/>
      <c r="E29" s="399"/>
      <c r="F29" s="299"/>
      <c r="G29" s="301"/>
      <c r="H29" s="312"/>
    </row>
    <row r="30" spans="2:8" ht="18.75" customHeight="1" x14ac:dyDescent="0.2">
      <c r="B30" s="311"/>
      <c r="C30" s="300"/>
      <c r="D30" s="298"/>
      <c r="E30" s="399"/>
      <c r="F30" s="299"/>
      <c r="G30" s="301"/>
      <c r="H30" s="312"/>
    </row>
    <row r="31" spans="2:8" ht="18.75" customHeight="1" x14ac:dyDescent="0.2">
      <c r="B31" s="311"/>
      <c r="C31" s="300"/>
      <c r="D31" s="298"/>
      <c r="E31" s="399"/>
      <c r="F31" s="299"/>
      <c r="G31" s="301"/>
      <c r="H31" s="312"/>
    </row>
    <row r="32" spans="2:8" ht="18.75" customHeight="1" x14ac:dyDescent="0.2">
      <c r="B32" s="311"/>
      <c r="C32" s="300"/>
      <c r="D32" s="298"/>
      <c r="E32" s="399"/>
      <c r="F32" s="299"/>
      <c r="G32" s="301"/>
      <c r="H32" s="312"/>
    </row>
    <row r="33" spans="2:8" ht="18.75" customHeight="1" x14ac:dyDescent="0.2">
      <c r="B33" s="311"/>
      <c r="C33" s="300"/>
      <c r="D33" s="298"/>
      <c r="E33" s="399"/>
      <c r="F33" s="299"/>
      <c r="G33" s="301"/>
      <c r="H33" s="312"/>
    </row>
    <row r="34" spans="2:8" ht="18.75" customHeight="1" x14ac:dyDescent="0.2">
      <c r="B34" s="311"/>
      <c r="C34" s="300"/>
      <c r="D34" s="298"/>
      <c r="E34" s="399"/>
      <c r="F34" s="299"/>
      <c r="G34" s="301"/>
      <c r="H34" s="312"/>
    </row>
    <row r="35" spans="2:8" ht="18.75" customHeight="1" x14ac:dyDescent="0.2">
      <c r="B35" s="313"/>
      <c r="C35" s="13"/>
      <c r="D35" s="15"/>
      <c r="E35" s="403"/>
      <c r="F35" s="12"/>
      <c r="G35" s="100"/>
      <c r="H35" s="314"/>
    </row>
    <row r="36" spans="2:8" ht="18.75" customHeight="1" x14ac:dyDescent="0.2">
      <c r="B36" s="313"/>
      <c r="C36" s="13"/>
      <c r="D36" s="15"/>
      <c r="E36" s="403"/>
      <c r="F36" s="12"/>
      <c r="G36" s="100"/>
      <c r="H36" s="314"/>
    </row>
    <row r="37" spans="2:8" ht="18.75" customHeight="1" x14ac:dyDescent="0.2">
      <c r="B37" s="313"/>
      <c r="C37" s="13"/>
      <c r="D37" s="15"/>
      <c r="E37" s="403"/>
      <c r="F37" s="12"/>
      <c r="G37" s="100"/>
      <c r="H37" s="314"/>
    </row>
    <row r="38" spans="2:8" ht="18.75" customHeight="1" x14ac:dyDescent="0.2">
      <c r="B38" s="313"/>
      <c r="C38" s="13"/>
      <c r="D38" s="15"/>
      <c r="E38" s="403"/>
      <c r="F38" s="12"/>
      <c r="G38" s="100"/>
      <c r="H38" s="314"/>
    </row>
    <row r="39" spans="2:8" ht="18.75" customHeight="1" x14ac:dyDescent="0.2">
      <c r="B39" s="313"/>
      <c r="C39" s="13"/>
      <c r="D39" s="15"/>
      <c r="E39" s="403"/>
      <c r="F39" s="12"/>
      <c r="G39" s="100"/>
      <c r="H39" s="314"/>
    </row>
    <row r="40" spans="2:8" ht="18.75" customHeight="1" x14ac:dyDescent="0.2">
      <c r="B40" s="313"/>
      <c r="C40" s="13"/>
      <c r="D40" s="15"/>
      <c r="E40" s="403"/>
      <c r="F40" s="12"/>
      <c r="G40" s="100"/>
      <c r="H40" s="314"/>
    </row>
    <row r="41" spans="2:8" ht="18.75" customHeight="1" x14ac:dyDescent="0.2">
      <c r="B41" s="313"/>
      <c r="C41" s="13"/>
      <c r="D41" s="15"/>
      <c r="E41" s="403"/>
      <c r="F41" s="12"/>
      <c r="G41" s="100"/>
      <c r="H41" s="314"/>
    </row>
    <row r="42" spans="2:8" ht="18.75" customHeight="1" x14ac:dyDescent="0.2">
      <c r="B42" s="313"/>
      <c r="C42" s="13"/>
      <c r="D42" s="15"/>
      <c r="E42" s="403"/>
      <c r="F42" s="12"/>
      <c r="G42" s="100"/>
      <c r="H42" s="314"/>
    </row>
    <row r="43" spans="2:8" ht="18.75" customHeight="1" x14ac:dyDescent="0.2">
      <c r="B43" s="313"/>
      <c r="C43" s="13"/>
      <c r="D43" s="15"/>
      <c r="E43" s="403"/>
      <c r="F43" s="12"/>
      <c r="G43" s="100"/>
      <c r="H43" s="314"/>
    </row>
    <row r="44" spans="2:8" ht="18.75" customHeight="1" x14ac:dyDescent="0.2">
      <c r="B44" s="313"/>
      <c r="C44" s="13"/>
      <c r="D44" s="15"/>
      <c r="E44" s="403"/>
      <c r="F44" s="12"/>
      <c r="G44" s="100"/>
      <c r="H44" s="314"/>
    </row>
    <row r="45" spans="2:8" ht="18.75" customHeight="1" x14ac:dyDescent="0.2">
      <c r="B45" s="313"/>
      <c r="C45" s="13"/>
      <c r="D45" s="15"/>
      <c r="E45" s="403"/>
      <c r="F45" s="12"/>
      <c r="G45" s="100"/>
      <c r="H45" s="314"/>
    </row>
    <row r="46" spans="2:8" ht="18.75" customHeight="1" x14ac:dyDescent="0.2">
      <c r="B46" s="313"/>
      <c r="C46" s="13"/>
      <c r="D46" s="15"/>
      <c r="E46" s="403"/>
      <c r="F46" s="12"/>
      <c r="G46" s="100"/>
      <c r="H46" s="314"/>
    </row>
    <row r="47" spans="2:8" ht="18.75" customHeight="1" x14ac:dyDescent="0.2">
      <c r="B47" s="313"/>
      <c r="C47" s="13"/>
      <c r="D47" s="15"/>
      <c r="E47" s="403"/>
      <c r="F47" s="12"/>
      <c r="G47" s="100"/>
      <c r="H47" s="314"/>
    </row>
    <row r="48" spans="2:8" ht="18.75" customHeight="1" x14ac:dyDescent="0.2">
      <c r="B48" s="313"/>
      <c r="C48" s="13"/>
      <c r="D48" s="15"/>
      <c r="E48" s="403"/>
      <c r="F48" s="12"/>
      <c r="G48" s="100"/>
      <c r="H48" s="314"/>
    </row>
    <row r="49" spans="2:8" ht="18.75" customHeight="1" x14ac:dyDescent="0.2">
      <c r="B49" s="313"/>
      <c r="C49" s="13"/>
      <c r="D49" s="15"/>
      <c r="E49" s="403"/>
      <c r="F49" s="12"/>
      <c r="G49" s="100"/>
      <c r="H49" s="314"/>
    </row>
    <row r="50" spans="2:8" ht="18.75" customHeight="1" thickBot="1" x14ac:dyDescent="0.25">
      <c r="B50" s="315"/>
      <c r="C50" s="316"/>
      <c r="D50" s="131"/>
      <c r="E50" s="404"/>
      <c r="F50" s="135"/>
      <c r="G50" s="317"/>
      <c r="H50" s="318"/>
    </row>
  </sheetData>
  <autoFilter ref="B3:H50" xr:uid="{00000000-0009-0000-0000-000003000000}"/>
  <phoneticPr fontId="2"/>
  <dataValidations count="2">
    <dataValidation type="list" allowBlank="1" showInputMessage="1" showErrorMessage="1" sqref="D4:D50" xr:uid="{00000000-0002-0000-0300-000000000000}">
      <formula1>"阪急寧波店,Mitsukoshi BGC,漢神巨蛋購物廣場店,Ha Noi Kim Ma,Trung Hòa Nhân Chính,KR1 Gangnam Sinsa,KR2 宣陵店,KR3 龍山三角地,KR Goraewa 大田,"</formula1>
    </dataValidation>
    <dataValidation type="list" allowBlank="1" showInputMessage="1" showErrorMessage="1" sqref="E4:E50" xr:uid="{00000000-0002-0000-0300-000001000000}">
      <formula1>"Taiwan,China,Philippines,Vietnam,Korea,"</formula1>
    </dataValidation>
  </dataValidation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6A4F4-4279-4B0F-B90B-8D9FF9F8C39B}">
  <sheetPr>
    <tabColor rgb="FF7FFAFD"/>
  </sheetPr>
  <dimension ref="A1:G8"/>
  <sheetViews>
    <sheetView workbookViewId="0">
      <selection activeCell="C15" sqref="C15"/>
    </sheetView>
  </sheetViews>
  <sheetFormatPr defaultRowHeight="13" x14ac:dyDescent="0.2"/>
  <cols>
    <col min="1" max="1" width="19.36328125" customWidth="1"/>
    <col min="2" max="2" width="16.1796875" customWidth="1"/>
    <col min="3" max="3" width="22.81640625" customWidth="1"/>
    <col min="4" max="4" width="12.90625" customWidth="1"/>
    <col min="5" max="5" width="17.54296875" bestFit="1" customWidth="1"/>
    <col min="6" max="6" width="19.08984375" customWidth="1"/>
    <col min="7" max="7" width="49" bestFit="1" customWidth="1"/>
  </cols>
  <sheetData>
    <row r="1" spans="1:7" ht="14" x14ac:dyDescent="0.2">
      <c r="A1" s="351" t="s">
        <v>193</v>
      </c>
      <c r="B1" s="352" t="s">
        <v>188</v>
      </c>
      <c r="C1" s="352" t="s">
        <v>189</v>
      </c>
      <c r="D1" s="352" t="s">
        <v>196</v>
      </c>
      <c r="E1" s="353" t="s">
        <v>225</v>
      </c>
      <c r="F1" s="354" t="s">
        <v>194</v>
      </c>
      <c r="G1" s="355" t="s">
        <v>227</v>
      </c>
    </row>
    <row r="2" spans="1:7" ht="16" x14ac:dyDescent="0.2">
      <c r="A2" s="356" t="s">
        <v>355</v>
      </c>
      <c r="B2" s="357" t="s">
        <v>351</v>
      </c>
      <c r="C2" s="360" t="s">
        <v>256</v>
      </c>
      <c r="D2" s="360" t="s">
        <v>255</v>
      </c>
      <c r="E2" s="361">
        <v>226732.91999999998</v>
      </c>
      <c r="F2" s="362">
        <v>45971</v>
      </c>
      <c r="G2" s="363" t="s">
        <v>358</v>
      </c>
    </row>
    <row r="3" spans="1:7" ht="16" x14ac:dyDescent="0.2">
      <c r="A3" s="356" t="s">
        <v>355</v>
      </c>
      <c r="B3" s="357" t="s">
        <v>352</v>
      </c>
      <c r="C3" s="364" t="s">
        <v>256</v>
      </c>
      <c r="D3" s="360" t="s">
        <v>255</v>
      </c>
      <c r="E3" s="365">
        <v>107979.72</v>
      </c>
      <c r="F3" s="362">
        <v>45924</v>
      </c>
      <c r="G3" s="366" t="s">
        <v>357</v>
      </c>
    </row>
    <row r="4" spans="1:7" ht="16" x14ac:dyDescent="0.2">
      <c r="A4" s="356" t="s">
        <v>355</v>
      </c>
      <c r="B4" s="357" t="s">
        <v>353</v>
      </c>
      <c r="C4" s="360" t="s">
        <v>256</v>
      </c>
      <c r="D4" s="360" t="s">
        <v>255</v>
      </c>
      <c r="E4" s="365">
        <v>124522.01999999999</v>
      </c>
      <c r="F4" s="362">
        <v>45924</v>
      </c>
      <c r="G4" s="366" t="s">
        <v>356</v>
      </c>
    </row>
    <row r="5" spans="1:7" ht="16" x14ac:dyDescent="0.2">
      <c r="A5" s="356" t="s">
        <v>376</v>
      </c>
      <c r="B5" s="357" t="s">
        <v>393</v>
      </c>
      <c r="C5" s="360" t="s">
        <v>256</v>
      </c>
      <c r="D5" s="360" t="s">
        <v>255</v>
      </c>
      <c r="E5" s="361">
        <v>118736.19</v>
      </c>
      <c r="F5" s="362">
        <v>45966</v>
      </c>
      <c r="G5" s="361" t="s">
        <v>410</v>
      </c>
    </row>
    <row r="6" spans="1:7" ht="16" x14ac:dyDescent="0.2">
      <c r="A6" s="356" t="s">
        <v>376</v>
      </c>
      <c r="B6" s="357" t="s">
        <v>394</v>
      </c>
      <c r="C6" s="360" t="s">
        <v>256</v>
      </c>
      <c r="D6" s="360" t="s">
        <v>255</v>
      </c>
      <c r="E6" s="361">
        <v>116440.83</v>
      </c>
      <c r="F6" s="362">
        <v>45966</v>
      </c>
      <c r="G6" s="361" t="s">
        <v>409</v>
      </c>
    </row>
    <row r="7" spans="1:7" ht="16" x14ac:dyDescent="0.2">
      <c r="A7" s="358" t="s">
        <v>400</v>
      </c>
      <c r="B7" s="359" t="s">
        <v>407</v>
      </c>
      <c r="C7" s="367" t="s">
        <v>256</v>
      </c>
      <c r="D7" s="367" t="s">
        <v>255</v>
      </c>
      <c r="E7" s="368">
        <v>54152.681697</v>
      </c>
      <c r="F7" s="369"/>
      <c r="G7" s="370" t="s">
        <v>358</v>
      </c>
    </row>
    <row r="8" spans="1:7" ht="16" x14ac:dyDescent="0.2">
      <c r="A8" s="358" t="s">
        <v>400</v>
      </c>
      <c r="B8" s="359" t="s">
        <v>408</v>
      </c>
      <c r="C8" s="367" t="s">
        <v>256</v>
      </c>
      <c r="D8" s="367" t="s">
        <v>255</v>
      </c>
      <c r="E8" s="368">
        <v>67730.888609999995</v>
      </c>
      <c r="F8" s="369"/>
      <c r="G8" s="370" t="s">
        <v>409</v>
      </c>
    </row>
  </sheetData>
  <phoneticPr fontId="2"/>
  <dataValidations count="2">
    <dataValidation type="list" allowBlank="1" showInputMessage="1" showErrorMessage="1" sqref="C2:C8" xr:uid="{5148289E-4289-4B38-B925-53C8CEC88FC6}">
      <formula1>"Hawaii Honolulu,Ha Noi Kim Ma,Trung Hòa Nhân Chính,漢神巨蛋購物廣場店,漢神成功店,阪急寧波店,Mitsukoshi BGC, KR 1 Gangnam Sinsa, KR 2 Goraewa co.,"</formula1>
    </dataValidation>
    <dataValidation type="list" allowBlank="1" showInputMessage="1" showErrorMessage="1" sqref="D2:D8" xr:uid="{49E860A2-09AF-4BDD-86CE-2C91EAB68125}">
      <formula1>"USA,Taiwan,China,Philippines,Vietnam,Korea,"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A90E2-5A1F-4E70-8215-EB0CBA6FCF71}">
  <dimension ref="B2:H17"/>
  <sheetViews>
    <sheetView view="pageBreakPreview" topLeftCell="A5" zoomScale="104" zoomScaleNormal="109" workbookViewId="0">
      <selection activeCell="C15" sqref="C15"/>
    </sheetView>
  </sheetViews>
  <sheetFormatPr defaultRowHeight="13" x14ac:dyDescent="0.2"/>
  <cols>
    <col min="2" max="2" width="16.1796875" customWidth="1"/>
    <col min="3" max="3" width="16.81640625" customWidth="1"/>
    <col min="4" max="4" width="17" customWidth="1"/>
    <col min="5" max="5" width="24.6328125" customWidth="1"/>
    <col min="6" max="6" width="6.36328125" customWidth="1"/>
    <col min="7" max="7" width="34.6328125" customWidth="1"/>
    <col min="8" max="8" width="18.36328125" customWidth="1"/>
  </cols>
  <sheetData>
    <row r="2" spans="2:8" ht="13.5" thickBot="1" x14ac:dyDescent="0.25">
      <c r="E2" s="71" t="s">
        <v>268</v>
      </c>
    </row>
    <row r="3" spans="2:8" ht="23" customHeight="1" x14ac:dyDescent="0.2">
      <c r="B3" s="248" t="s">
        <v>267</v>
      </c>
      <c r="C3" s="248" t="s">
        <v>266</v>
      </c>
      <c r="D3" s="248" t="s">
        <v>265</v>
      </c>
      <c r="E3" s="248" t="s">
        <v>264</v>
      </c>
      <c r="G3" s="247" t="s">
        <v>269</v>
      </c>
      <c r="H3" s="246">
        <v>26800</v>
      </c>
    </row>
    <row r="4" spans="2:8" ht="25" customHeight="1" x14ac:dyDescent="0.2">
      <c r="B4" s="71"/>
      <c r="C4" s="71"/>
      <c r="D4" s="71"/>
      <c r="E4" s="245">
        <v>13963.91</v>
      </c>
      <c r="G4" s="244" t="s">
        <v>263</v>
      </c>
      <c r="H4" s="243">
        <v>12836.09</v>
      </c>
    </row>
    <row r="5" spans="2:8" ht="25" customHeight="1" thickBot="1" x14ac:dyDescent="0.25">
      <c r="B5" s="242" t="s">
        <v>262</v>
      </c>
      <c r="C5" s="71" t="s">
        <v>258</v>
      </c>
      <c r="D5" s="245">
        <v>1564.45</v>
      </c>
      <c r="E5" s="239">
        <f t="shared" ref="E5:E11" si="0">E4-D5</f>
        <v>12399.46</v>
      </c>
      <c r="G5" s="241" t="s">
        <v>261</v>
      </c>
      <c r="H5" s="240">
        <f>H3-H4</f>
        <v>13963.91</v>
      </c>
    </row>
    <row r="6" spans="2:8" ht="25" customHeight="1" x14ac:dyDescent="0.2">
      <c r="B6" s="71" t="s">
        <v>260</v>
      </c>
      <c r="C6" s="71" t="s">
        <v>259</v>
      </c>
      <c r="D6" s="245">
        <v>1929.34</v>
      </c>
      <c r="E6" s="239">
        <f t="shared" si="0"/>
        <v>10470.119999999999</v>
      </c>
    </row>
    <row r="7" spans="2:8" ht="25" customHeight="1" x14ac:dyDescent="0.2">
      <c r="B7" s="71" t="s">
        <v>276</v>
      </c>
      <c r="C7" s="71" t="s">
        <v>277</v>
      </c>
      <c r="D7" s="245">
        <v>1658.0159999999998</v>
      </c>
      <c r="E7" s="239">
        <f t="shared" si="0"/>
        <v>8812.1039999999994</v>
      </c>
    </row>
    <row r="8" spans="2:8" ht="25" customHeight="1" x14ac:dyDescent="0.2">
      <c r="B8" s="71" t="s">
        <v>278</v>
      </c>
      <c r="C8" s="71" t="s">
        <v>279</v>
      </c>
      <c r="D8" s="245">
        <v>1518.723</v>
      </c>
      <c r="E8" s="239">
        <f t="shared" si="0"/>
        <v>7293.3809999999994</v>
      </c>
    </row>
    <row r="9" spans="2:8" ht="25" customHeight="1" x14ac:dyDescent="0.2">
      <c r="B9" s="71" t="s">
        <v>280</v>
      </c>
      <c r="C9" s="71" t="s">
        <v>281</v>
      </c>
      <c r="D9" s="245">
        <v>1957.1879999999999</v>
      </c>
      <c r="E9" s="239">
        <f t="shared" si="0"/>
        <v>5336.1929999999993</v>
      </c>
    </row>
    <row r="10" spans="2:8" ht="25" customHeight="1" x14ac:dyDescent="0.2">
      <c r="B10" s="71" t="s">
        <v>282</v>
      </c>
      <c r="C10" s="71" t="s">
        <v>283</v>
      </c>
      <c r="D10" s="264">
        <v>1397.1569999999999</v>
      </c>
      <c r="E10" s="239">
        <f>E9-D10</f>
        <v>3939.0359999999991</v>
      </c>
    </row>
    <row r="11" spans="2:8" ht="25" customHeight="1" x14ac:dyDescent="0.2">
      <c r="B11" s="71" t="s">
        <v>286</v>
      </c>
      <c r="C11" s="71" t="s">
        <v>287</v>
      </c>
      <c r="D11" s="264">
        <v>1143.963</v>
      </c>
      <c r="E11" s="239">
        <f t="shared" si="0"/>
        <v>2795.0729999999994</v>
      </c>
    </row>
    <row r="12" spans="2:8" ht="25" customHeight="1" x14ac:dyDescent="0.2">
      <c r="B12" s="71" t="s">
        <v>285</v>
      </c>
      <c r="C12" s="71" t="s">
        <v>284</v>
      </c>
      <c r="D12" s="264">
        <v>1269.798</v>
      </c>
      <c r="E12" s="239">
        <f>E11-D12</f>
        <v>1525.2749999999994</v>
      </c>
    </row>
    <row r="13" spans="2:8" ht="25" customHeight="1" x14ac:dyDescent="0.2">
      <c r="B13" s="71" t="s">
        <v>294</v>
      </c>
      <c r="C13" s="71" t="s">
        <v>293</v>
      </c>
      <c r="D13" s="71">
        <v>1767.27</v>
      </c>
      <c r="E13" s="239">
        <f>E12-D13</f>
        <v>-241.99500000000057</v>
      </c>
    </row>
    <row r="14" spans="2:8" ht="25" customHeight="1" x14ac:dyDescent="0.2">
      <c r="B14" s="286" t="s">
        <v>299</v>
      </c>
      <c r="C14" s="286" t="s">
        <v>301</v>
      </c>
      <c r="D14" s="290">
        <v>1569.2</v>
      </c>
      <c r="E14" s="291">
        <f>E13-D14</f>
        <v>-1811.1950000000006</v>
      </c>
      <c r="F14" t="s">
        <v>359</v>
      </c>
    </row>
    <row r="15" spans="2:8" ht="25" customHeight="1" x14ac:dyDescent="0.2">
      <c r="B15" s="71" t="s">
        <v>309</v>
      </c>
      <c r="C15" s="71" t="s">
        <v>308</v>
      </c>
      <c r="D15" s="71">
        <v>1803.7379999999998</v>
      </c>
      <c r="E15" s="239">
        <f>E14-D15</f>
        <v>-3614.9330000000004</v>
      </c>
    </row>
    <row r="16" spans="2:8" ht="25" customHeight="1" x14ac:dyDescent="0.2">
      <c r="B16" s="70"/>
      <c r="C16" s="70"/>
      <c r="D16" s="70"/>
      <c r="E16" s="70"/>
    </row>
    <row r="17" spans="2:5" ht="25" customHeight="1" x14ac:dyDescent="0.2">
      <c r="B17" s="70"/>
      <c r="C17" s="70"/>
      <c r="D17" s="70"/>
      <c r="E17" s="70"/>
    </row>
  </sheetData>
  <phoneticPr fontId="2"/>
  <pageMargins left="0.7" right="0.7" top="0.75" bottom="0.75" header="0.3" footer="0.3"/>
  <pageSetup paperSize="9" scale="6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905FC-B291-41F0-9BFC-F932CB45AA38}">
  <dimension ref="B1:G40"/>
  <sheetViews>
    <sheetView workbookViewId="0">
      <selection activeCell="B35" sqref="B35"/>
    </sheetView>
  </sheetViews>
  <sheetFormatPr defaultRowHeight="13" x14ac:dyDescent="0.2"/>
  <cols>
    <col min="3" max="7" width="24.1796875" customWidth="1"/>
  </cols>
  <sheetData>
    <row r="1" spans="2:7" ht="13.5" thickBot="1" x14ac:dyDescent="0.25"/>
    <row r="2" spans="2:7" ht="24.5" customHeight="1" thickBot="1" x14ac:dyDescent="0.25">
      <c r="B2" s="266"/>
      <c r="C2" s="267" t="s">
        <v>193</v>
      </c>
      <c r="D2" s="268" t="s">
        <v>188</v>
      </c>
      <c r="E2" s="268" t="s">
        <v>189</v>
      </c>
      <c r="F2" s="268" t="s">
        <v>196</v>
      </c>
      <c r="G2" s="269" t="s">
        <v>225</v>
      </c>
    </row>
    <row r="3" spans="2:7" ht="20" customHeight="1" x14ac:dyDescent="0.2">
      <c r="B3" s="266"/>
      <c r="C3" s="270">
        <v>45296</v>
      </c>
      <c r="D3" s="271" t="s">
        <v>310</v>
      </c>
      <c r="E3" s="271" t="s">
        <v>311</v>
      </c>
      <c r="F3" s="271" t="s">
        <v>250</v>
      </c>
      <c r="G3" s="272">
        <v>900.91704837721988</v>
      </c>
    </row>
    <row r="4" spans="2:7" ht="20" customHeight="1" x14ac:dyDescent="0.2">
      <c r="B4" s="266"/>
      <c r="C4" s="273">
        <v>45296</v>
      </c>
      <c r="D4" s="274" t="s">
        <v>312</v>
      </c>
      <c r="E4" s="274" t="s">
        <v>247</v>
      </c>
      <c r="F4" s="274" t="s">
        <v>250</v>
      </c>
      <c r="G4" s="275">
        <v>750</v>
      </c>
    </row>
    <row r="5" spans="2:7" ht="20" customHeight="1" x14ac:dyDescent="0.2">
      <c r="B5" s="266"/>
      <c r="C5" s="273">
        <v>45331</v>
      </c>
      <c r="D5" s="274" t="s">
        <v>313</v>
      </c>
      <c r="E5" s="274" t="s">
        <v>311</v>
      </c>
      <c r="F5" s="274" t="s">
        <v>250</v>
      </c>
      <c r="G5" s="275">
        <v>878.65499999999997</v>
      </c>
    </row>
    <row r="6" spans="2:7" ht="20" customHeight="1" x14ac:dyDescent="0.2">
      <c r="B6" s="266"/>
      <c r="C6" s="273">
        <v>45331</v>
      </c>
      <c r="D6" s="274" t="s">
        <v>314</v>
      </c>
      <c r="E6" s="274" t="s">
        <v>247</v>
      </c>
      <c r="F6" s="274" t="s">
        <v>250</v>
      </c>
      <c r="G6" s="275">
        <v>750</v>
      </c>
    </row>
    <row r="7" spans="2:7" ht="20" customHeight="1" x14ac:dyDescent="0.2">
      <c r="B7" s="266"/>
      <c r="C7" s="273">
        <v>45363</v>
      </c>
      <c r="D7" s="274" t="s">
        <v>315</v>
      </c>
      <c r="E7" s="274" t="s">
        <v>311</v>
      </c>
      <c r="F7" s="274" t="s">
        <v>250</v>
      </c>
      <c r="G7" s="275">
        <v>750</v>
      </c>
    </row>
    <row r="8" spans="2:7" ht="20" customHeight="1" x14ac:dyDescent="0.2">
      <c r="B8" s="266"/>
      <c r="C8" s="273">
        <v>45363</v>
      </c>
      <c r="D8" s="274" t="s">
        <v>316</v>
      </c>
      <c r="E8" s="274" t="s">
        <v>247</v>
      </c>
      <c r="F8" s="274" t="s">
        <v>250</v>
      </c>
      <c r="G8" s="275">
        <v>750</v>
      </c>
    </row>
    <row r="9" spans="2:7" ht="20" customHeight="1" x14ac:dyDescent="0.2">
      <c r="B9" s="266"/>
      <c r="C9" s="273">
        <v>45387</v>
      </c>
      <c r="D9" s="274" t="s">
        <v>317</v>
      </c>
      <c r="E9" s="274" t="s">
        <v>311</v>
      </c>
      <c r="F9" s="274" t="s">
        <v>250</v>
      </c>
      <c r="G9" s="275">
        <v>985.95990000000006</v>
      </c>
    </row>
    <row r="10" spans="2:7" ht="20" customHeight="1" x14ac:dyDescent="0.2">
      <c r="B10" s="266"/>
      <c r="C10" s="273">
        <v>45387</v>
      </c>
      <c r="D10" s="274" t="s">
        <v>318</v>
      </c>
      <c r="E10" s="274" t="s">
        <v>247</v>
      </c>
      <c r="F10" s="274" t="s">
        <v>250</v>
      </c>
      <c r="G10" s="275">
        <v>750</v>
      </c>
    </row>
    <row r="11" spans="2:7" ht="20" customHeight="1" x14ac:dyDescent="0.2">
      <c r="B11" s="266"/>
      <c r="C11" s="273">
        <v>45421</v>
      </c>
      <c r="D11" s="274" t="s">
        <v>319</v>
      </c>
      <c r="E11" s="274" t="s">
        <v>311</v>
      </c>
      <c r="F11" s="274" t="s">
        <v>250</v>
      </c>
      <c r="G11" s="275">
        <v>832.24350000000004</v>
      </c>
    </row>
    <row r="12" spans="2:7" ht="20" customHeight="1" x14ac:dyDescent="0.2">
      <c r="B12" s="266"/>
      <c r="C12" s="273">
        <v>45421</v>
      </c>
      <c r="D12" s="274" t="s">
        <v>320</v>
      </c>
      <c r="E12" s="274" t="s">
        <v>247</v>
      </c>
      <c r="F12" s="274" t="s">
        <v>250</v>
      </c>
      <c r="G12" s="275">
        <v>750</v>
      </c>
    </row>
    <row r="13" spans="2:7" ht="20" customHeight="1" x14ac:dyDescent="0.2">
      <c r="B13" s="266"/>
      <c r="C13" s="273">
        <v>45460</v>
      </c>
      <c r="D13" s="274" t="s">
        <v>321</v>
      </c>
      <c r="E13" s="274" t="s">
        <v>311</v>
      </c>
      <c r="F13" s="274" t="s">
        <v>250</v>
      </c>
      <c r="G13" s="275">
        <v>964.5915</v>
      </c>
    </row>
    <row r="14" spans="2:7" ht="20" customHeight="1" x14ac:dyDescent="0.2">
      <c r="B14" s="266"/>
      <c r="C14" s="273">
        <v>45460</v>
      </c>
      <c r="D14" s="274" t="s">
        <v>322</v>
      </c>
      <c r="E14" s="274" t="s">
        <v>247</v>
      </c>
      <c r="F14" s="274" t="s">
        <v>250</v>
      </c>
      <c r="G14" s="275">
        <v>750</v>
      </c>
    </row>
    <row r="15" spans="2:7" ht="20" customHeight="1" x14ac:dyDescent="0.2">
      <c r="B15" s="266"/>
      <c r="C15" s="273">
        <v>45490</v>
      </c>
      <c r="D15" s="274" t="s">
        <v>323</v>
      </c>
      <c r="E15" s="274" t="s">
        <v>311</v>
      </c>
      <c r="F15" s="274" t="s">
        <v>250</v>
      </c>
      <c r="G15" s="275">
        <v>1037.4840000000002</v>
      </c>
    </row>
    <row r="16" spans="2:7" ht="20" customHeight="1" x14ac:dyDescent="0.2">
      <c r="B16" s="266"/>
      <c r="C16" s="273">
        <v>45490</v>
      </c>
      <c r="D16" s="274" t="s">
        <v>324</v>
      </c>
      <c r="E16" s="274" t="s">
        <v>247</v>
      </c>
      <c r="F16" s="274" t="s">
        <v>250</v>
      </c>
      <c r="G16" s="275">
        <v>750</v>
      </c>
    </row>
    <row r="17" spans="2:7" ht="20" customHeight="1" x14ac:dyDescent="0.2">
      <c r="B17" s="266"/>
      <c r="C17" s="273">
        <v>45517</v>
      </c>
      <c r="D17" s="274" t="s">
        <v>325</v>
      </c>
      <c r="E17" s="274" t="s">
        <v>311</v>
      </c>
      <c r="F17" s="274" t="s">
        <v>250</v>
      </c>
      <c r="G17" s="275">
        <v>1044.0450000000001</v>
      </c>
    </row>
    <row r="18" spans="2:7" ht="20" customHeight="1" x14ac:dyDescent="0.2">
      <c r="B18" s="266"/>
      <c r="C18" s="273">
        <v>45517</v>
      </c>
      <c r="D18" s="274" t="s">
        <v>326</v>
      </c>
      <c r="E18" s="274" t="s">
        <v>247</v>
      </c>
      <c r="F18" s="274" t="s">
        <v>250</v>
      </c>
      <c r="G18" s="275">
        <v>750</v>
      </c>
    </row>
    <row r="19" spans="2:7" ht="20" customHeight="1" x14ac:dyDescent="0.2">
      <c r="B19" s="266"/>
      <c r="C19" s="273">
        <v>45554</v>
      </c>
      <c r="D19" s="274" t="s">
        <v>327</v>
      </c>
      <c r="E19" s="274" t="s">
        <v>311</v>
      </c>
      <c r="F19" s="274" t="s">
        <v>250</v>
      </c>
      <c r="G19" s="276">
        <v>1051.32</v>
      </c>
    </row>
    <row r="20" spans="2:7" ht="20" customHeight="1" x14ac:dyDescent="0.2">
      <c r="B20" s="266"/>
      <c r="C20" s="273">
        <v>45554</v>
      </c>
      <c r="D20" s="274" t="s">
        <v>328</v>
      </c>
      <c r="E20" s="274" t="s">
        <v>247</v>
      </c>
      <c r="F20" s="274" t="s">
        <v>250</v>
      </c>
      <c r="G20" s="275">
        <v>750</v>
      </c>
    </row>
    <row r="21" spans="2:7" ht="20" customHeight="1" x14ac:dyDescent="0.2">
      <c r="B21" s="266"/>
      <c r="C21" s="273">
        <v>45583</v>
      </c>
      <c r="D21" s="274" t="s">
        <v>329</v>
      </c>
      <c r="E21" s="274" t="s">
        <v>311</v>
      </c>
      <c r="F21" s="274" t="s">
        <v>250</v>
      </c>
      <c r="G21" s="275">
        <v>949.55</v>
      </c>
    </row>
    <row r="22" spans="2:7" ht="20" customHeight="1" x14ac:dyDescent="0.2">
      <c r="B22" s="266"/>
      <c r="C22" s="273">
        <v>45583</v>
      </c>
      <c r="D22" s="274" t="s">
        <v>330</v>
      </c>
      <c r="E22" s="274" t="s">
        <v>247</v>
      </c>
      <c r="F22" s="274" t="s">
        <v>250</v>
      </c>
      <c r="G22" s="275">
        <v>750</v>
      </c>
    </row>
    <row r="23" spans="2:7" ht="20" customHeight="1" x14ac:dyDescent="0.2">
      <c r="B23" s="266"/>
      <c r="C23" s="273">
        <v>45614</v>
      </c>
      <c r="D23" s="274" t="s">
        <v>331</v>
      </c>
      <c r="E23" s="274" t="s">
        <v>311</v>
      </c>
      <c r="F23" s="274" t="s">
        <v>250</v>
      </c>
      <c r="G23" s="275">
        <v>1042.47</v>
      </c>
    </row>
    <row r="24" spans="2:7" ht="20" customHeight="1" x14ac:dyDescent="0.2">
      <c r="B24" s="266"/>
      <c r="C24" s="273">
        <v>45614</v>
      </c>
      <c r="D24" s="274" t="s">
        <v>332</v>
      </c>
      <c r="E24" s="274" t="s">
        <v>247</v>
      </c>
      <c r="F24" s="274" t="s">
        <v>250</v>
      </c>
      <c r="G24" s="275">
        <v>750</v>
      </c>
    </row>
    <row r="25" spans="2:7" ht="20" customHeight="1" x14ac:dyDescent="0.2">
      <c r="B25" s="266"/>
      <c r="C25" s="273">
        <v>45642</v>
      </c>
      <c r="D25" s="274" t="s">
        <v>333</v>
      </c>
      <c r="E25" s="274" t="s">
        <v>311</v>
      </c>
      <c r="F25" s="274" t="s">
        <v>250</v>
      </c>
      <c r="G25" s="275">
        <v>903.15599999999995</v>
      </c>
    </row>
    <row r="26" spans="2:7" ht="20" customHeight="1" x14ac:dyDescent="0.2">
      <c r="B26" s="266"/>
      <c r="C26" s="273">
        <v>45642</v>
      </c>
      <c r="D26" s="274" t="s">
        <v>334</v>
      </c>
      <c r="E26" s="274" t="s">
        <v>247</v>
      </c>
      <c r="F26" s="274" t="s">
        <v>250</v>
      </c>
      <c r="G26" s="275">
        <v>750</v>
      </c>
    </row>
    <row r="27" spans="2:7" ht="20" customHeight="1" x14ac:dyDescent="0.2">
      <c r="B27" s="266"/>
      <c r="C27" s="273">
        <v>45673</v>
      </c>
      <c r="D27" s="274" t="s">
        <v>335</v>
      </c>
      <c r="E27" s="274" t="s">
        <v>311</v>
      </c>
      <c r="F27" s="274" t="s">
        <v>250</v>
      </c>
      <c r="G27" s="275">
        <v>1037.8140000000001</v>
      </c>
    </row>
    <row r="28" spans="2:7" ht="20" customHeight="1" x14ac:dyDescent="0.2">
      <c r="B28" s="266"/>
      <c r="C28" s="273">
        <v>45673</v>
      </c>
      <c r="D28" s="274" t="s">
        <v>336</v>
      </c>
      <c r="E28" s="274" t="s">
        <v>247</v>
      </c>
      <c r="F28" s="274" t="s">
        <v>250</v>
      </c>
      <c r="G28" s="275">
        <v>750</v>
      </c>
    </row>
    <row r="29" spans="2:7" ht="20" customHeight="1" x14ac:dyDescent="0.2">
      <c r="B29" s="266"/>
      <c r="C29" s="273">
        <v>45705</v>
      </c>
      <c r="D29" s="274" t="s">
        <v>337</v>
      </c>
      <c r="E29" s="274" t="s">
        <v>311</v>
      </c>
      <c r="F29" s="274" t="s">
        <v>250</v>
      </c>
      <c r="G29" s="275">
        <v>1063.038</v>
      </c>
    </row>
    <row r="30" spans="2:7" ht="20" customHeight="1" x14ac:dyDescent="0.2">
      <c r="B30" s="266"/>
      <c r="C30" s="273">
        <v>45705</v>
      </c>
      <c r="D30" s="274" t="s">
        <v>338</v>
      </c>
      <c r="E30" s="274" t="s">
        <v>247</v>
      </c>
      <c r="F30" s="274" t="s">
        <v>250</v>
      </c>
      <c r="G30" s="275">
        <v>750</v>
      </c>
    </row>
    <row r="31" spans="2:7" ht="20" customHeight="1" x14ac:dyDescent="0.2">
      <c r="B31" s="266"/>
      <c r="C31" s="273">
        <v>45735</v>
      </c>
      <c r="D31" s="274" t="s">
        <v>339</v>
      </c>
      <c r="E31" s="274" t="s">
        <v>311</v>
      </c>
      <c r="F31" s="274" t="s">
        <v>250</v>
      </c>
      <c r="G31" s="275">
        <v>1018.467</v>
      </c>
    </row>
    <row r="32" spans="2:7" ht="20" customHeight="1" x14ac:dyDescent="0.2">
      <c r="B32" s="266"/>
      <c r="C32" s="273">
        <v>45735</v>
      </c>
      <c r="D32" s="274" t="s">
        <v>340</v>
      </c>
      <c r="E32" s="274" t="s">
        <v>247</v>
      </c>
      <c r="F32" s="274" t="s">
        <v>250</v>
      </c>
      <c r="G32" s="275">
        <v>750</v>
      </c>
    </row>
    <row r="33" spans="2:7" ht="20" customHeight="1" x14ac:dyDescent="0.2">
      <c r="B33" s="266"/>
      <c r="C33" s="273">
        <v>45755</v>
      </c>
      <c r="D33" s="274" t="s">
        <v>341</v>
      </c>
      <c r="E33" s="274" t="s">
        <v>311</v>
      </c>
      <c r="F33" s="274" t="s">
        <v>250</v>
      </c>
      <c r="G33" s="275">
        <v>787.60500000000002</v>
      </c>
    </row>
    <row r="34" spans="2:7" ht="20" customHeight="1" x14ac:dyDescent="0.2">
      <c r="B34" s="266"/>
      <c r="C34" s="273">
        <v>45755</v>
      </c>
      <c r="D34" s="274" t="s">
        <v>342</v>
      </c>
      <c r="E34" s="274" t="s">
        <v>247</v>
      </c>
      <c r="F34" s="274" t="s">
        <v>250</v>
      </c>
      <c r="G34" s="277">
        <v>750</v>
      </c>
    </row>
    <row r="35" spans="2:7" ht="20" customHeight="1" x14ac:dyDescent="0.2">
      <c r="B35" s="266"/>
      <c r="C35" s="273" t="s">
        <v>285</v>
      </c>
      <c r="D35" s="278" t="s">
        <v>290</v>
      </c>
      <c r="E35" s="274" t="s">
        <v>247</v>
      </c>
      <c r="F35" s="274" t="s">
        <v>250</v>
      </c>
      <c r="G35" s="275">
        <v>873.35</v>
      </c>
    </row>
    <row r="36" spans="2:7" ht="20" customHeight="1" x14ac:dyDescent="0.2">
      <c r="B36" s="266"/>
      <c r="C36" s="273" t="s">
        <v>295</v>
      </c>
      <c r="D36" s="278" t="s">
        <v>298</v>
      </c>
      <c r="E36" s="274" t="s">
        <v>247</v>
      </c>
      <c r="F36" s="274" t="s">
        <v>250</v>
      </c>
      <c r="G36" s="275">
        <v>836.82600000000002</v>
      </c>
    </row>
    <row r="37" spans="2:7" ht="20" customHeight="1" x14ac:dyDescent="0.2">
      <c r="B37" s="266"/>
      <c r="C37" s="279" t="s">
        <v>299</v>
      </c>
      <c r="D37" s="280" t="s">
        <v>305</v>
      </c>
      <c r="E37" s="281" t="s">
        <v>247</v>
      </c>
      <c r="F37" s="281" t="s">
        <v>250</v>
      </c>
      <c r="G37" s="282">
        <v>750</v>
      </c>
    </row>
    <row r="38" spans="2:7" ht="28.5" customHeight="1" thickBot="1" x14ac:dyDescent="0.25">
      <c r="B38" s="266"/>
      <c r="C38" s="283" t="s">
        <v>343</v>
      </c>
      <c r="D38" s="284"/>
      <c r="E38" s="284"/>
      <c r="F38" s="284"/>
      <c r="G38" s="285">
        <f>SUM(G3:G37)</f>
        <v>29707.491948377221</v>
      </c>
    </row>
    <row r="40" spans="2:7" x14ac:dyDescent="0.2">
      <c r="D40" s="265"/>
    </row>
  </sheetData>
  <phoneticPr fontId="2"/>
  <dataValidations count="2">
    <dataValidation type="list" allowBlank="1" showInputMessage="1" showErrorMessage="1" sqref="E3:E37" xr:uid="{FECE4127-AFD2-44F7-BA67-865FB5137310}">
      <formula1>"Hawaii Honolulu,Ha Noi Kim Ma,Trung Hòa Nhân Chính,漢神巨蛋購物廣場店,漢神成功店,阪急寧波店,Mitsukoshi BGC, KR 1 Gangnam Sinsa, KR 2 Goraewa co.,"</formula1>
    </dataValidation>
    <dataValidation type="list" allowBlank="1" showInputMessage="1" showErrorMessage="1" sqref="F3:F37" xr:uid="{F4003A03-F190-4417-9AF5-9BE8BDF66586}">
      <formula1>"USA,Taiwan,China,Philippines,Vietnam,Korea,"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tint="-9.9978637043366805E-2"/>
  </sheetPr>
  <dimension ref="A1:H12"/>
  <sheetViews>
    <sheetView topLeftCell="B1" zoomScale="114" zoomScaleNormal="100" workbookViewId="0">
      <selection activeCell="F19" sqref="F19"/>
    </sheetView>
  </sheetViews>
  <sheetFormatPr defaultRowHeight="13" x14ac:dyDescent="0.2"/>
  <cols>
    <col min="1" max="1" width="4.90625" style="1" customWidth="1"/>
    <col min="2" max="2" width="15.90625" style="16" customWidth="1"/>
    <col min="3" max="3" width="15.90625" style="1" customWidth="1"/>
    <col min="4" max="4" width="19.26953125" style="1" customWidth="1"/>
    <col min="5" max="5" width="15.7265625" style="1" customWidth="1"/>
    <col min="6" max="6" width="48.08984375" style="1" customWidth="1"/>
    <col min="7" max="7" width="20.90625" style="10" customWidth="1"/>
    <col min="8" max="8" width="16.36328125" style="11" customWidth="1"/>
  </cols>
  <sheetData>
    <row r="1" spans="2:8" ht="19.5" customHeight="1" x14ac:dyDescent="0.2">
      <c r="B1" s="17" t="s">
        <v>218</v>
      </c>
      <c r="C1" s="3"/>
    </row>
    <row r="2" spans="2:8" ht="19.5" customHeight="1" x14ac:dyDescent="0.2">
      <c r="B2" s="17"/>
      <c r="C2" s="3"/>
    </row>
    <row r="3" spans="2:8" ht="26.25" customHeight="1" thickBot="1" x14ac:dyDescent="0.25">
      <c r="B3" s="166" t="s">
        <v>224</v>
      </c>
      <c r="D3" s="18"/>
    </row>
    <row r="4" spans="2:8" s="1" customFormat="1" ht="28.5" customHeight="1" x14ac:dyDescent="0.2">
      <c r="B4" s="124" t="s">
        <v>238</v>
      </c>
      <c r="C4" s="125" t="s">
        <v>187</v>
      </c>
      <c r="D4" s="125" t="s">
        <v>189</v>
      </c>
      <c r="E4" s="125" t="s">
        <v>190</v>
      </c>
      <c r="F4" s="125" t="s">
        <v>191</v>
      </c>
      <c r="G4" s="126" t="s">
        <v>195</v>
      </c>
      <c r="H4" s="133" t="s">
        <v>194</v>
      </c>
    </row>
    <row r="5" spans="2:8" ht="18.75" customHeight="1" x14ac:dyDescent="0.2">
      <c r="B5" s="128">
        <v>45394</v>
      </c>
      <c r="C5" s="14" t="s">
        <v>237</v>
      </c>
      <c r="D5" s="15" t="s">
        <v>239</v>
      </c>
      <c r="E5" s="12" t="s">
        <v>226</v>
      </c>
      <c r="F5" s="99" t="s">
        <v>240</v>
      </c>
      <c r="G5" s="137">
        <v>325116</v>
      </c>
      <c r="H5" s="134"/>
    </row>
    <row r="6" spans="2:8" ht="18.75" customHeight="1" x14ac:dyDescent="0.2">
      <c r="B6" s="128"/>
      <c r="C6" s="14"/>
      <c r="D6" s="15"/>
      <c r="E6" s="12"/>
      <c r="F6" s="99"/>
      <c r="G6" s="12"/>
      <c r="H6" s="134"/>
    </row>
    <row r="7" spans="2:8" ht="18.75" customHeight="1" x14ac:dyDescent="0.2">
      <c r="B7" s="127"/>
      <c r="C7" s="14"/>
      <c r="D7" s="15"/>
      <c r="E7" s="12"/>
      <c r="F7" s="99"/>
      <c r="G7" s="12"/>
      <c r="H7" s="134"/>
    </row>
    <row r="8" spans="2:8" ht="18.75" customHeight="1" x14ac:dyDescent="0.2">
      <c r="B8" s="127"/>
      <c r="C8" s="14"/>
      <c r="D8" s="15"/>
      <c r="E8" s="12"/>
      <c r="F8" s="99"/>
      <c r="G8" s="12"/>
      <c r="H8" s="134"/>
    </row>
    <row r="9" spans="2:8" ht="18.75" customHeight="1" x14ac:dyDescent="0.2">
      <c r="B9" s="127"/>
      <c r="C9" s="14"/>
      <c r="D9" s="15"/>
      <c r="E9" s="12"/>
      <c r="F9" s="99"/>
      <c r="G9" s="12"/>
      <c r="H9" s="134"/>
    </row>
    <row r="10" spans="2:8" ht="18.75" customHeight="1" x14ac:dyDescent="0.2">
      <c r="B10" s="127"/>
      <c r="C10" s="14"/>
      <c r="D10" s="15"/>
      <c r="E10" s="12"/>
      <c r="F10" s="99"/>
      <c r="G10" s="12"/>
      <c r="H10" s="134"/>
    </row>
    <row r="11" spans="2:8" ht="18.75" customHeight="1" thickBot="1" x14ac:dyDescent="0.25">
      <c r="B11" s="129"/>
      <c r="C11" s="130"/>
      <c r="D11" s="131"/>
      <c r="E11" s="135"/>
      <c r="F11" s="132"/>
      <c r="G11" s="135"/>
      <c r="H11" s="136"/>
    </row>
    <row r="12" spans="2:8" ht="18.75" customHeight="1" x14ac:dyDescent="0.2"/>
  </sheetData>
  <phoneticPr fontId="2"/>
  <dataValidations count="2">
    <dataValidation type="list" allowBlank="1" showInputMessage="1" showErrorMessage="1" sqref="D5:D11" xr:uid="{00000000-0002-0000-0200-000001000000}">
      <formula1>"CGM,TWC,"</formula1>
    </dataValidation>
    <dataValidation type="list" allowBlank="1" showInputMessage="1" showErrorMessage="1" sqref="E5:E11" xr:uid="{00000000-0002-0000-0200-000002000000}">
      <formula1>"USA,Vietnam,Thailand,Philippines,China,Hong Kong,Taiwan,Malaysia,Indonisia,"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9.9978637043366805E-2"/>
  </sheetPr>
  <dimension ref="A1:J29"/>
  <sheetViews>
    <sheetView zoomScale="115" zoomScaleNormal="115" workbookViewId="0">
      <selection activeCell="E8" sqref="E8"/>
    </sheetView>
  </sheetViews>
  <sheetFormatPr defaultRowHeight="13" x14ac:dyDescent="0.2"/>
  <cols>
    <col min="1" max="1" width="4.36328125" style="1" customWidth="1"/>
    <col min="2" max="2" width="36.08984375" customWidth="1"/>
    <col min="3" max="3" width="30.6328125" customWidth="1"/>
    <col min="4" max="4" width="3.7265625" customWidth="1"/>
    <col min="5" max="5" width="45.90625" style="3" customWidth="1"/>
    <col min="6" max="6" width="10" style="7" customWidth="1"/>
    <col min="7" max="7" width="33" customWidth="1"/>
    <col min="8" max="8" width="11.6328125" style="7" customWidth="1"/>
    <col min="9" max="9" width="12.90625" customWidth="1"/>
    <col min="10" max="10" width="8.6328125" style="7" customWidth="1"/>
  </cols>
  <sheetData>
    <row r="1" spans="1:10" s="19" customFormat="1" ht="36.75" customHeight="1" x14ac:dyDescent="0.2">
      <c r="A1" s="20" t="s">
        <v>38</v>
      </c>
      <c r="E1" s="20" t="s">
        <v>39</v>
      </c>
      <c r="F1" s="21" t="s">
        <v>19</v>
      </c>
      <c r="G1" s="18" t="s">
        <v>20</v>
      </c>
      <c r="H1" s="21" t="s">
        <v>10</v>
      </c>
      <c r="J1" s="21"/>
    </row>
    <row r="2" spans="1:10" s="19" customFormat="1" ht="16.5" customHeight="1" x14ac:dyDescent="0.2">
      <c r="A2" s="18"/>
      <c r="E2" s="20"/>
      <c r="F2" s="21" t="s">
        <v>13</v>
      </c>
      <c r="H2" s="21" t="s">
        <v>17</v>
      </c>
      <c r="J2" s="21" t="s">
        <v>186</v>
      </c>
    </row>
    <row r="3" spans="1:10" s="19" customFormat="1" ht="16.5" customHeight="1" x14ac:dyDescent="0.2">
      <c r="A3" s="18"/>
      <c r="E3" s="18" t="s">
        <v>30</v>
      </c>
      <c r="F3" s="21" t="s">
        <v>0</v>
      </c>
      <c r="G3" s="18" t="s">
        <v>18</v>
      </c>
      <c r="H3" s="21" t="s">
        <v>0</v>
      </c>
      <c r="I3" s="18"/>
      <c r="J3" s="21" t="s">
        <v>14</v>
      </c>
    </row>
    <row r="4" spans="1:10" ht="16.5" customHeight="1" x14ac:dyDescent="0.2">
      <c r="A4" s="1" t="s">
        <v>8</v>
      </c>
      <c r="B4" t="s">
        <v>9</v>
      </c>
      <c r="C4" t="s">
        <v>21</v>
      </c>
      <c r="E4" s="3" t="s">
        <v>2</v>
      </c>
      <c r="F4" s="8">
        <v>5.0000000000000001E-3</v>
      </c>
      <c r="G4" s="1" t="s">
        <v>15</v>
      </c>
      <c r="H4" s="9">
        <v>2.5000000000000001E-3</v>
      </c>
      <c r="I4" s="441" t="s">
        <v>42</v>
      </c>
      <c r="J4" s="7" t="s">
        <v>3</v>
      </c>
    </row>
    <row r="5" spans="1:10" ht="16.5" customHeight="1" x14ac:dyDescent="0.2">
      <c r="G5" s="1"/>
      <c r="I5" s="441"/>
    </row>
    <row r="6" spans="1:10" ht="16.5" customHeight="1" x14ac:dyDescent="0.2">
      <c r="A6" s="1" t="s">
        <v>10</v>
      </c>
      <c r="B6" t="s">
        <v>23</v>
      </c>
      <c r="C6" t="s">
        <v>11</v>
      </c>
      <c r="E6" s="4" t="s">
        <v>40</v>
      </c>
      <c r="F6" s="8">
        <v>5.0000000000000001E-3</v>
      </c>
      <c r="G6" s="1" t="s">
        <v>15</v>
      </c>
      <c r="H6" s="9">
        <v>2.5000000000000001E-3</v>
      </c>
      <c r="I6" s="441"/>
      <c r="J6" s="7">
        <v>0.03</v>
      </c>
    </row>
    <row r="7" spans="1:10" ht="16.5" customHeight="1" x14ac:dyDescent="0.2">
      <c r="G7" s="1"/>
      <c r="I7" s="441"/>
    </row>
    <row r="8" spans="1:10" ht="16.5" customHeight="1" x14ac:dyDescent="0.2">
      <c r="A8" s="1" t="s">
        <v>22</v>
      </c>
      <c r="B8" t="s">
        <v>24</v>
      </c>
      <c r="E8" s="4" t="s">
        <v>41</v>
      </c>
      <c r="F8" s="8">
        <v>5.0000000000000001E-3</v>
      </c>
      <c r="G8" s="1" t="s">
        <v>15</v>
      </c>
      <c r="H8" s="9">
        <v>2.5000000000000001E-3</v>
      </c>
      <c r="I8" s="441"/>
      <c r="J8" s="7">
        <v>0.03</v>
      </c>
    </row>
    <row r="9" spans="1:10" ht="16.5" customHeight="1" x14ac:dyDescent="0.2">
      <c r="G9" s="1"/>
      <c r="I9" s="441"/>
    </row>
    <row r="10" spans="1:10" ht="16.5" customHeight="1" x14ac:dyDescent="0.2">
      <c r="A10" s="1" t="s">
        <v>25</v>
      </c>
      <c r="B10" t="s">
        <v>31</v>
      </c>
      <c r="E10" s="5" t="s">
        <v>4</v>
      </c>
      <c r="F10" s="8">
        <v>2.5000000000000001E-2</v>
      </c>
      <c r="G10" s="1" t="s">
        <v>16</v>
      </c>
      <c r="H10" s="7">
        <v>0.01</v>
      </c>
      <c r="I10" s="441"/>
      <c r="J10" s="7" t="s">
        <v>3</v>
      </c>
    </row>
    <row r="11" spans="1:10" ht="16.5" customHeight="1" x14ac:dyDescent="0.2">
      <c r="G11" s="1"/>
      <c r="I11" s="441"/>
    </row>
    <row r="12" spans="1:10" ht="16.5" customHeight="1" x14ac:dyDescent="0.2">
      <c r="A12" s="1" t="s">
        <v>26</v>
      </c>
      <c r="B12" t="s">
        <v>27</v>
      </c>
      <c r="E12" s="4" t="s">
        <v>1</v>
      </c>
      <c r="F12" s="6">
        <v>0.03</v>
      </c>
      <c r="G12" s="1" t="s">
        <v>16</v>
      </c>
      <c r="H12" s="7">
        <v>0.01</v>
      </c>
      <c r="I12" s="441"/>
      <c r="J12" s="7" t="s">
        <v>3</v>
      </c>
    </row>
    <row r="13" spans="1:10" ht="16.5" customHeight="1" x14ac:dyDescent="0.2">
      <c r="G13" s="1"/>
      <c r="I13" s="441"/>
    </row>
    <row r="14" spans="1:10" ht="16.5" customHeight="1" x14ac:dyDescent="0.2">
      <c r="A14" s="1" t="s">
        <v>28</v>
      </c>
      <c r="B14" t="s">
        <v>43</v>
      </c>
      <c r="E14" s="101" t="s">
        <v>197</v>
      </c>
      <c r="F14" s="102">
        <v>0.03</v>
      </c>
      <c r="G14" s="103" t="s">
        <v>16</v>
      </c>
      <c r="H14" s="104">
        <v>0.01</v>
      </c>
      <c r="I14" s="441"/>
      <c r="J14" s="7" t="s">
        <v>3</v>
      </c>
    </row>
    <row r="15" spans="1:10" ht="16.5" customHeight="1" x14ac:dyDescent="0.2">
      <c r="G15" s="1"/>
      <c r="I15" s="441"/>
    </row>
    <row r="16" spans="1:10" ht="16.5" customHeight="1" x14ac:dyDescent="0.2">
      <c r="E16" s="5" t="s">
        <v>12</v>
      </c>
      <c r="F16" s="6">
        <v>0.01</v>
      </c>
      <c r="G16" s="1" t="s">
        <v>16</v>
      </c>
      <c r="H16" s="105">
        <v>5.0000000000000001E-3</v>
      </c>
      <c r="I16" s="441"/>
      <c r="J16" s="7" t="s">
        <v>3</v>
      </c>
    </row>
    <row r="17" spans="1:10" ht="16.5" customHeight="1" x14ac:dyDescent="0.2">
      <c r="G17" s="1"/>
      <c r="I17" s="441"/>
    </row>
    <row r="18" spans="1:10" ht="16.5" customHeight="1" x14ac:dyDescent="0.2">
      <c r="E18" s="5" t="s">
        <v>7</v>
      </c>
      <c r="F18" s="6">
        <v>0.03</v>
      </c>
      <c r="G18" s="1" t="s">
        <v>16</v>
      </c>
      <c r="H18" s="7">
        <v>0.01</v>
      </c>
      <c r="I18" s="441"/>
      <c r="J18" s="7" t="s">
        <v>3</v>
      </c>
    </row>
    <row r="19" spans="1:10" ht="16.5" customHeight="1" x14ac:dyDescent="0.2">
      <c r="A19" s="1" t="s">
        <v>44</v>
      </c>
      <c r="B19" t="s">
        <v>46</v>
      </c>
      <c r="G19" s="1"/>
      <c r="I19" s="441"/>
    </row>
    <row r="20" spans="1:10" ht="16.5" customHeight="1" x14ac:dyDescent="0.2">
      <c r="A20" s="1" t="s">
        <v>45</v>
      </c>
      <c r="B20" t="s">
        <v>47</v>
      </c>
      <c r="E20" s="5" t="s">
        <v>185</v>
      </c>
      <c r="F20" s="8">
        <v>5.0000000000000001E-3</v>
      </c>
      <c r="G20" s="1" t="s">
        <v>16</v>
      </c>
      <c r="H20" s="9">
        <v>2.5000000000000001E-3</v>
      </c>
      <c r="I20" s="441"/>
      <c r="J20" s="7" t="s">
        <v>3</v>
      </c>
    </row>
    <row r="21" spans="1:10" ht="16.5" customHeight="1" x14ac:dyDescent="0.2">
      <c r="G21" s="1"/>
      <c r="I21" s="441"/>
    </row>
    <row r="22" spans="1:10" ht="16.5" customHeight="1" x14ac:dyDescent="0.2">
      <c r="E22" s="5" t="s">
        <v>6</v>
      </c>
      <c r="F22" s="6">
        <v>0.03</v>
      </c>
      <c r="G22" s="1" t="s">
        <v>16</v>
      </c>
      <c r="H22" s="7">
        <v>0.01</v>
      </c>
      <c r="I22" s="441"/>
      <c r="J22" s="7" t="s">
        <v>3</v>
      </c>
    </row>
    <row r="25" spans="1:10" x14ac:dyDescent="0.2">
      <c r="E25" s="440" t="s">
        <v>51</v>
      </c>
      <c r="F25" s="440"/>
      <c r="H25" s="22" t="s">
        <v>52</v>
      </c>
      <c r="I25" s="22"/>
    </row>
    <row r="26" spans="1:10" x14ac:dyDescent="0.2">
      <c r="E26" s="3" t="s">
        <v>35</v>
      </c>
      <c r="H26" s="23" t="s">
        <v>182</v>
      </c>
      <c r="I26" s="7"/>
    </row>
    <row r="27" spans="1:10" x14ac:dyDescent="0.2">
      <c r="E27" s="3" t="s">
        <v>32</v>
      </c>
      <c r="H27" s="3" t="s">
        <v>33</v>
      </c>
      <c r="I27" s="7"/>
    </row>
    <row r="28" spans="1:10" x14ac:dyDescent="0.2">
      <c r="E28" s="3" t="s">
        <v>34</v>
      </c>
      <c r="H28" s="3" t="s">
        <v>32</v>
      </c>
    </row>
    <row r="29" spans="1:10" x14ac:dyDescent="0.2">
      <c r="E29" s="3" t="s">
        <v>37</v>
      </c>
      <c r="H29" s="3" t="s">
        <v>34</v>
      </c>
    </row>
  </sheetData>
  <mergeCells count="2">
    <mergeCell ref="E25:F25"/>
    <mergeCell ref="I4:I22"/>
  </mergeCells>
  <phoneticPr fontId="2"/>
  <pageMargins left="0.70866141732283472" right="0.70866141732283472" top="0.74803149606299213" bottom="0.74803149606299213" header="0.31496062992125984" footer="0.31496062992125984"/>
  <pageSetup paperSize="9" scale="95" orientation="landscape" verticalDpi="0" r:id="rId1"/>
  <colBreaks count="1" manualBreakCount="1">
    <brk id="4"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2" tint="-9.9978637043366805E-2"/>
  </sheetPr>
  <dimension ref="A1:I47"/>
  <sheetViews>
    <sheetView topLeftCell="A10" workbookViewId="0">
      <selection activeCell="E8" sqref="E8"/>
    </sheetView>
  </sheetViews>
  <sheetFormatPr defaultRowHeight="13" x14ac:dyDescent="0.2"/>
  <cols>
    <col min="1" max="1" width="9" style="1"/>
    <col min="2" max="2" width="67.90625" customWidth="1"/>
    <col min="5" max="5" width="6.6328125" style="1" customWidth="1"/>
  </cols>
  <sheetData>
    <row r="1" spans="1:9" ht="26.25" customHeight="1" x14ac:dyDescent="0.2">
      <c r="A1" s="24" t="s">
        <v>69</v>
      </c>
      <c r="D1" s="24" t="s">
        <v>70</v>
      </c>
      <c r="E1"/>
    </row>
    <row r="2" spans="1:9" x14ac:dyDescent="0.2">
      <c r="D2" s="1"/>
      <c r="E2"/>
    </row>
    <row r="3" spans="1:9" x14ac:dyDescent="0.2">
      <c r="A3" s="1" t="s">
        <v>53</v>
      </c>
      <c r="B3" s="1"/>
      <c r="D3" s="1" t="s">
        <v>53</v>
      </c>
    </row>
    <row r="4" spans="1:9" x14ac:dyDescent="0.2">
      <c r="A4" s="1" t="s">
        <v>8</v>
      </c>
      <c r="B4" t="s">
        <v>55</v>
      </c>
      <c r="D4" s="1" t="s">
        <v>8</v>
      </c>
      <c r="E4" t="s">
        <v>55</v>
      </c>
    </row>
    <row r="5" spans="1:9" x14ac:dyDescent="0.2">
      <c r="D5" s="1"/>
      <c r="E5"/>
    </row>
    <row r="6" spans="1:9" x14ac:dyDescent="0.2">
      <c r="A6" s="1" t="s">
        <v>56</v>
      </c>
      <c r="B6" t="s">
        <v>58</v>
      </c>
      <c r="D6" s="1" t="s">
        <v>10</v>
      </c>
      <c r="E6" t="s">
        <v>58</v>
      </c>
    </row>
    <row r="7" spans="1:9" x14ac:dyDescent="0.2">
      <c r="D7" s="1"/>
      <c r="E7"/>
    </row>
    <row r="8" spans="1:9" x14ac:dyDescent="0.2">
      <c r="A8" s="1" t="s">
        <v>57</v>
      </c>
      <c r="B8" t="s">
        <v>59</v>
      </c>
      <c r="D8" s="1" t="s">
        <v>22</v>
      </c>
      <c r="E8" t="s">
        <v>72</v>
      </c>
    </row>
    <row r="9" spans="1:9" x14ac:dyDescent="0.2">
      <c r="B9" t="s">
        <v>64</v>
      </c>
      <c r="D9" s="1"/>
      <c r="E9" t="s">
        <v>64</v>
      </c>
      <c r="I9" s="25" t="s">
        <v>71</v>
      </c>
    </row>
    <row r="10" spans="1:9" x14ac:dyDescent="0.2">
      <c r="D10" s="1"/>
      <c r="E10" t="s">
        <v>73</v>
      </c>
    </row>
    <row r="12" spans="1:9" x14ac:dyDescent="0.2">
      <c r="D12" s="1" t="s">
        <v>25</v>
      </c>
      <c r="E12" t="s">
        <v>61</v>
      </c>
    </row>
    <row r="13" spans="1:9" x14ac:dyDescent="0.2">
      <c r="B13" s="25"/>
      <c r="D13" s="1"/>
      <c r="E13"/>
    </row>
    <row r="14" spans="1:9" x14ac:dyDescent="0.2">
      <c r="D14" s="1" t="s">
        <v>28</v>
      </c>
      <c r="E14" t="s">
        <v>66</v>
      </c>
    </row>
    <row r="15" spans="1:9" x14ac:dyDescent="0.2">
      <c r="D15" s="1"/>
      <c r="E15" t="s">
        <v>67</v>
      </c>
    </row>
    <row r="16" spans="1:9" x14ac:dyDescent="0.2">
      <c r="D16" s="1"/>
      <c r="E16"/>
    </row>
    <row r="17" spans="1:5" x14ac:dyDescent="0.2">
      <c r="B17" s="25"/>
      <c r="D17" s="1" t="s">
        <v>25</v>
      </c>
      <c r="E17" t="s">
        <v>68</v>
      </c>
    </row>
    <row r="18" spans="1:5" x14ac:dyDescent="0.2">
      <c r="D18" s="1"/>
      <c r="E18"/>
    </row>
    <row r="19" spans="1:5" x14ac:dyDescent="0.2">
      <c r="D19" s="1" t="s">
        <v>26</v>
      </c>
      <c r="E19" t="s">
        <v>27</v>
      </c>
    </row>
    <row r="20" spans="1:5" x14ac:dyDescent="0.2">
      <c r="A20" s="1" t="s">
        <v>60</v>
      </c>
      <c r="B20" t="s">
        <v>61</v>
      </c>
      <c r="D20" s="1"/>
      <c r="E20"/>
    </row>
    <row r="21" spans="1:5" x14ac:dyDescent="0.2">
      <c r="D21" s="1" t="s">
        <v>28</v>
      </c>
      <c r="E21" t="s">
        <v>29</v>
      </c>
    </row>
    <row r="22" spans="1:5" x14ac:dyDescent="0.2">
      <c r="A22" s="1" t="s">
        <v>62</v>
      </c>
      <c r="B22" t="s">
        <v>63</v>
      </c>
      <c r="D22" s="1"/>
      <c r="E22"/>
    </row>
    <row r="23" spans="1:5" x14ac:dyDescent="0.2">
      <c r="B23" t="s">
        <v>65</v>
      </c>
      <c r="D23" s="23"/>
      <c r="E23" s="23"/>
    </row>
    <row r="24" spans="1:5" x14ac:dyDescent="0.2">
      <c r="D24" s="3" t="s">
        <v>36</v>
      </c>
      <c r="E24" s="7"/>
    </row>
    <row r="25" spans="1:5" x14ac:dyDescent="0.2">
      <c r="D25" s="3" t="s">
        <v>48</v>
      </c>
      <c r="E25" s="7"/>
    </row>
    <row r="26" spans="1:5" x14ac:dyDescent="0.2">
      <c r="D26" s="3" t="s">
        <v>49</v>
      </c>
      <c r="E26" s="7"/>
    </row>
    <row r="27" spans="1:5" x14ac:dyDescent="0.2">
      <c r="D27" s="3" t="s">
        <v>50</v>
      </c>
      <c r="E27"/>
    </row>
    <row r="28" spans="1:5" x14ac:dyDescent="0.2">
      <c r="D28" s="1"/>
      <c r="E28"/>
    </row>
    <row r="29" spans="1:5" x14ac:dyDescent="0.2">
      <c r="D29" s="1"/>
      <c r="E29"/>
    </row>
    <row r="30" spans="1:5" x14ac:dyDescent="0.2">
      <c r="D30" s="1"/>
      <c r="E30"/>
    </row>
    <row r="31" spans="1:5" x14ac:dyDescent="0.2">
      <c r="D31" s="1"/>
      <c r="E31"/>
    </row>
    <row r="32" spans="1:5" x14ac:dyDescent="0.2">
      <c r="D32" s="1"/>
      <c r="E32"/>
    </row>
    <row r="33" spans="1:5" x14ac:dyDescent="0.2">
      <c r="D33" s="1"/>
      <c r="E33"/>
    </row>
    <row r="34" spans="1:5" x14ac:dyDescent="0.2">
      <c r="A34" s="1" t="s">
        <v>28</v>
      </c>
      <c r="B34" t="s">
        <v>66</v>
      </c>
    </row>
    <row r="35" spans="1:5" x14ac:dyDescent="0.2">
      <c r="B35" t="s">
        <v>67</v>
      </c>
    </row>
    <row r="37" spans="1:5" x14ac:dyDescent="0.2">
      <c r="A37" s="1" t="s">
        <v>25</v>
      </c>
      <c r="B37" t="s">
        <v>68</v>
      </c>
    </row>
    <row r="39" spans="1:5" x14ac:dyDescent="0.2">
      <c r="A39" s="1" t="s">
        <v>26</v>
      </c>
      <c r="B39" t="s">
        <v>27</v>
      </c>
    </row>
    <row r="41" spans="1:5" x14ac:dyDescent="0.2">
      <c r="A41" s="1" t="s">
        <v>54</v>
      </c>
      <c r="B41" t="s">
        <v>29</v>
      </c>
    </row>
    <row r="43" spans="1:5" x14ac:dyDescent="0.2">
      <c r="A43" s="440"/>
      <c r="B43" s="440"/>
    </row>
    <row r="44" spans="1:5" x14ac:dyDescent="0.2">
      <c r="A44" s="3" t="s">
        <v>36</v>
      </c>
      <c r="B44" s="7"/>
    </row>
    <row r="45" spans="1:5" x14ac:dyDescent="0.2">
      <c r="A45" s="3" t="s">
        <v>48</v>
      </c>
      <c r="B45" s="7"/>
    </row>
    <row r="46" spans="1:5" x14ac:dyDescent="0.2">
      <c r="A46" s="3" t="s">
        <v>49</v>
      </c>
      <c r="B46" s="7"/>
    </row>
    <row r="47" spans="1:5" x14ac:dyDescent="0.2">
      <c r="A47" s="3" t="s">
        <v>50</v>
      </c>
    </row>
  </sheetData>
  <mergeCells count="1">
    <mergeCell ref="A43:B43"/>
  </mergeCells>
  <phoneticPr fontId="2"/>
  <hyperlinks>
    <hyperlink ref="I9" r:id="rId1" xr:uid="{00000000-0004-0000-0500-000000000000}"/>
  </hyperlinks>
  <pageMargins left="0.7" right="0.7" top="0.75" bottom="0.75" header="0.3" footer="0.3"/>
  <pageSetup paperSize="9" orientation="portrait" horizontalDpi="0" verticalDpi="0" r:id="rId2"/>
  <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2" tint="-9.9978637043366805E-2"/>
  </sheetPr>
  <dimension ref="A5:S25"/>
  <sheetViews>
    <sheetView workbookViewId="0">
      <selection activeCell="E8" sqref="E8"/>
    </sheetView>
  </sheetViews>
  <sheetFormatPr defaultRowHeight="13" x14ac:dyDescent="0.2"/>
  <cols>
    <col min="1" max="1" width="23.08984375" customWidth="1"/>
    <col min="2" max="2" width="22.7265625" customWidth="1"/>
    <col min="3" max="3" width="15.6328125" customWidth="1"/>
    <col min="4" max="5" width="8.08984375" customWidth="1"/>
    <col min="6" max="6" width="6.08984375" customWidth="1"/>
    <col min="7" max="7" width="10" customWidth="1"/>
    <col min="8" max="8" width="6.6328125" customWidth="1"/>
    <col min="9" max="11" width="5.26953125" customWidth="1"/>
    <col min="12" max="12" width="35.36328125" customWidth="1"/>
    <col min="13" max="13" width="19.36328125" customWidth="1"/>
    <col min="17" max="17" width="18.453125" customWidth="1"/>
  </cols>
  <sheetData>
    <row r="5" spans="1:19" ht="17" thickBot="1" x14ac:dyDescent="0.25">
      <c r="A5" s="26" t="s">
        <v>74</v>
      </c>
      <c r="G5" t="s">
        <v>181</v>
      </c>
      <c r="I5" s="1"/>
      <c r="J5" s="1"/>
      <c r="K5" s="1"/>
      <c r="L5" s="1"/>
      <c r="N5" s="1"/>
      <c r="Q5" s="19"/>
    </row>
    <row r="6" spans="1:19" x14ac:dyDescent="0.2">
      <c r="A6" s="44" t="s">
        <v>75</v>
      </c>
      <c r="B6" s="44" t="s">
        <v>76</v>
      </c>
      <c r="C6" s="44" t="s">
        <v>77</v>
      </c>
      <c r="D6" s="44" t="s">
        <v>78</v>
      </c>
      <c r="E6" s="44" t="s">
        <v>79</v>
      </c>
      <c r="F6" s="72"/>
      <c r="G6" s="88" t="s">
        <v>80</v>
      </c>
      <c r="H6" s="80"/>
      <c r="I6" s="45" t="s">
        <v>81</v>
      </c>
      <c r="J6" s="45" t="s">
        <v>82</v>
      </c>
      <c r="K6" s="45" t="s">
        <v>83</v>
      </c>
      <c r="L6" s="45" t="s">
        <v>84</v>
      </c>
      <c r="M6" s="44" t="s">
        <v>85</v>
      </c>
      <c r="N6" s="44" t="s">
        <v>86</v>
      </c>
      <c r="O6" s="44" t="s">
        <v>87</v>
      </c>
      <c r="P6" s="44" t="s">
        <v>88</v>
      </c>
      <c r="Q6" s="27"/>
      <c r="R6" s="28"/>
      <c r="S6" s="28"/>
    </row>
    <row r="7" spans="1:19" ht="18" customHeight="1" x14ac:dyDescent="0.2">
      <c r="A7" s="46" t="s">
        <v>89</v>
      </c>
      <c r="B7" s="46" t="s">
        <v>90</v>
      </c>
      <c r="C7" s="47" t="s">
        <v>91</v>
      </c>
      <c r="D7" s="48">
        <v>1</v>
      </c>
      <c r="E7" s="49">
        <v>4036</v>
      </c>
      <c r="F7" s="73"/>
      <c r="G7" s="89">
        <f>E7*120%</f>
        <v>4843.2</v>
      </c>
      <c r="H7" s="81"/>
      <c r="I7" s="48">
        <v>695</v>
      </c>
      <c r="J7" s="48">
        <v>433</v>
      </c>
      <c r="K7" s="48">
        <v>215</v>
      </c>
      <c r="L7" s="46" t="s">
        <v>180</v>
      </c>
      <c r="M7" s="46" t="s">
        <v>92</v>
      </c>
      <c r="N7" s="50" t="s">
        <v>93</v>
      </c>
      <c r="O7" s="46" t="s">
        <v>94</v>
      </c>
      <c r="P7" s="46" t="s">
        <v>95</v>
      </c>
      <c r="Q7" s="29" t="s">
        <v>96</v>
      </c>
      <c r="R7" s="30"/>
      <c r="S7" s="30"/>
    </row>
    <row r="8" spans="1:19" ht="18" customHeight="1" x14ac:dyDescent="0.2">
      <c r="A8" s="51" t="s">
        <v>89</v>
      </c>
      <c r="B8" s="51" t="s">
        <v>97</v>
      </c>
      <c r="C8" s="52" t="s">
        <v>98</v>
      </c>
      <c r="D8" s="53">
        <v>1</v>
      </c>
      <c r="E8" s="54"/>
      <c r="F8" s="74"/>
      <c r="G8" s="90"/>
      <c r="H8" s="82"/>
      <c r="I8" s="53"/>
      <c r="J8" s="53"/>
      <c r="K8" s="53"/>
      <c r="L8" s="51"/>
      <c r="M8" s="51"/>
      <c r="N8" s="55"/>
      <c r="O8" s="51"/>
      <c r="P8" s="51"/>
      <c r="Q8" s="29" t="s">
        <v>5</v>
      </c>
      <c r="R8" s="30"/>
      <c r="S8" s="30"/>
    </row>
    <row r="9" spans="1:19" ht="18" customHeight="1" x14ac:dyDescent="0.2">
      <c r="A9" s="31" t="s">
        <v>99</v>
      </c>
      <c r="B9" s="31" t="s">
        <v>101</v>
      </c>
      <c r="C9" s="32" t="s">
        <v>103</v>
      </c>
      <c r="D9" s="33">
        <v>6</v>
      </c>
      <c r="E9" s="34">
        <v>659</v>
      </c>
      <c r="F9" s="75"/>
      <c r="G9" s="91">
        <f>E9*130%</f>
        <v>856.7</v>
      </c>
      <c r="H9" s="83"/>
      <c r="I9" s="33">
        <v>326</v>
      </c>
      <c r="J9" s="33">
        <v>221</v>
      </c>
      <c r="K9" s="33">
        <v>340</v>
      </c>
      <c r="L9" s="31" t="s">
        <v>104</v>
      </c>
      <c r="M9" s="31" t="s">
        <v>105</v>
      </c>
      <c r="N9" s="35" t="s">
        <v>106</v>
      </c>
      <c r="O9" s="31" t="s">
        <v>108</v>
      </c>
      <c r="P9" s="31" t="s">
        <v>109</v>
      </c>
      <c r="Q9" s="29" t="s">
        <v>110</v>
      </c>
      <c r="R9" s="30" t="s">
        <v>111</v>
      </c>
      <c r="S9" s="30"/>
    </row>
    <row r="10" spans="1:19" ht="18" customHeight="1" x14ac:dyDescent="0.2">
      <c r="A10" s="31" t="s">
        <v>113</v>
      </c>
      <c r="B10" s="31" t="s">
        <v>115</v>
      </c>
      <c r="C10" s="32" t="s">
        <v>116</v>
      </c>
      <c r="D10" s="33">
        <v>6</v>
      </c>
      <c r="E10" s="34">
        <v>659</v>
      </c>
      <c r="F10" s="75"/>
      <c r="G10" s="91">
        <f>E10*130%</f>
        <v>856.7</v>
      </c>
      <c r="H10" s="83"/>
      <c r="I10" s="33">
        <v>326</v>
      </c>
      <c r="J10" s="33">
        <v>221</v>
      </c>
      <c r="K10" s="33">
        <v>340</v>
      </c>
      <c r="L10" s="31" t="s">
        <v>104</v>
      </c>
      <c r="M10" s="31" t="s">
        <v>105</v>
      </c>
      <c r="N10" s="35" t="s">
        <v>106</v>
      </c>
      <c r="O10" s="31" t="s">
        <v>117</v>
      </c>
      <c r="P10" s="31" t="s">
        <v>118</v>
      </c>
      <c r="Q10" s="29" t="s">
        <v>110</v>
      </c>
      <c r="R10" s="30" t="s">
        <v>111</v>
      </c>
      <c r="S10" s="30"/>
    </row>
    <row r="11" spans="1:19" ht="18" customHeight="1" x14ac:dyDescent="0.2">
      <c r="A11" s="56" t="s">
        <v>99</v>
      </c>
      <c r="B11" s="56" t="s">
        <v>100</v>
      </c>
      <c r="C11" s="57" t="s">
        <v>102</v>
      </c>
      <c r="D11" s="58">
        <v>6</v>
      </c>
      <c r="E11" s="59" t="s">
        <v>119</v>
      </c>
      <c r="F11" s="76">
        <v>838</v>
      </c>
      <c r="G11" s="92" t="s">
        <v>120</v>
      </c>
      <c r="H11" s="84">
        <v>958</v>
      </c>
      <c r="I11" s="58"/>
      <c r="J11" s="58"/>
      <c r="K11" s="58"/>
      <c r="L11" s="56"/>
      <c r="M11" s="56" t="s">
        <v>105</v>
      </c>
      <c r="N11" s="60" t="s">
        <v>106</v>
      </c>
      <c r="O11" s="56" t="s">
        <v>121</v>
      </c>
      <c r="P11" s="56" t="s">
        <v>122</v>
      </c>
      <c r="Q11" s="29" t="s">
        <v>5</v>
      </c>
      <c r="R11" s="30"/>
      <c r="S11" s="30"/>
    </row>
    <row r="12" spans="1:19" ht="18" customHeight="1" x14ac:dyDescent="0.2">
      <c r="A12" s="56" t="s">
        <v>112</v>
      </c>
      <c r="B12" s="56" t="s">
        <v>114</v>
      </c>
      <c r="C12" s="57" t="s">
        <v>102</v>
      </c>
      <c r="D12" s="58">
        <v>6</v>
      </c>
      <c r="E12" s="59" t="s">
        <v>123</v>
      </c>
      <c r="F12" s="76">
        <v>890</v>
      </c>
      <c r="G12" s="92" t="s">
        <v>124</v>
      </c>
      <c r="H12" s="84">
        <v>1009</v>
      </c>
      <c r="I12" s="58"/>
      <c r="J12" s="58"/>
      <c r="K12" s="58"/>
      <c r="L12" s="56"/>
      <c r="M12" s="56" t="s">
        <v>105</v>
      </c>
      <c r="N12" s="60" t="s">
        <v>106</v>
      </c>
      <c r="O12" s="56" t="s">
        <v>107</v>
      </c>
      <c r="P12" s="56" t="s">
        <v>125</v>
      </c>
      <c r="Q12" s="29" t="s">
        <v>5</v>
      </c>
      <c r="R12" s="30"/>
      <c r="S12" s="30"/>
    </row>
    <row r="13" spans="1:19" ht="18" customHeight="1" x14ac:dyDescent="0.2">
      <c r="A13" s="61" t="s">
        <v>126</v>
      </c>
      <c r="B13" s="61" t="s">
        <v>100</v>
      </c>
      <c r="C13" s="62" t="s">
        <v>127</v>
      </c>
      <c r="D13" s="63">
        <v>1</v>
      </c>
      <c r="E13" s="64">
        <v>3035</v>
      </c>
      <c r="F13" s="77"/>
      <c r="G13" s="93">
        <v>3800</v>
      </c>
      <c r="H13" s="85"/>
      <c r="I13" s="63"/>
      <c r="J13" s="63"/>
      <c r="K13" s="63"/>
      <c r="L13" s="61" t="s">
        <v>104</v>
      </c>
      <c r="M13" s="61" t="s">
        <v>128</v>
      </c>
      <c r="N13" s="65" t="s">
        <v>129</v>
      </c>
      <c r="O13" s="61"/>
      <c r="P13" s="61"/>
      <c r="Q13" s="29" t="s">
        <v>130</v>
      </c>
      <c r="R13" s="30"/>
      <c r="S13" s="30"/>
    </row>
    <row r="14" spans="1:19" ht="18" customHeight="1" x14ac:dyDescent="0.2">
      <c r="A14" s="61" t="s">
        <v>131</v>
      </c>
      <c r="B14" s="61" t="s">
        <v>114</v>
      </c>
      <c r="C14" s="62" t="s">
        <v>127</v>
      </c>
      <c r="D14" s="63">
        <v>1</v>
      </c>
      <c r="E14" s="64">
        <v>3035</v>
      </c>
      <c r="F14" s="77"/>
      <c r="G14" s="93">
        <v>3800</v>
      </c>
      <c r="H14" s="85"/>
      <c r="I14" s="63"/>
      <c r="J14" s="63"/>
      <c r="K14" s="63"/>
      <c r="L14" s="61" t="s">
        <v>104</v>
      </c>
      <c r="M14" s="61" t="s">
        <v>128</v>
      </c>
      <c r="N14" s="65" t="s">
        <v>129</v>
      </c>
      <c r="O14" s="61"/>
      <c r="P14" s="61"/>
      <c r="Q14" s="29" t="s">
        <v>130</v>
      </c>
      <c r="R14" s="30"/>
      <c r="S14" s="30"/>
    </row>
    <row r="15" spans="1:19" ht="18" customHeight="1" x14ac:dyDescent="0.2">
      <c r="A15" s="66" t="s">
        <v>132</v>
      </c>
      <c r="B15" s="66" t="s">
        <v>133</v>
      </c>
      <c r="C15" s="67" t="s">
        <v>134</v>
      </c>
      <c r="D15" s="68">
        <v>10</v>
      </c>
      <c r="E15" s="41">
        <v>460</v>
      </c>
      <c r="F15" s="78"/>
      <c r="G15" s="94">
        <f>E15*115%</f>
        <v>529</v>
      </c>
      <c r="H15" s="86"/>
      <c r="I15" s="68">
        <v>248</v>
      </c>
      <c r="J15" s="68">
        <v>380</v>
      </c>
      <c r="K15" s="68">
        <v>179</v>
      </c>
      <c r="L15" s="66" t="s">
        <v>104</v>
      </c>
      <c r="M15" s="66" t="s">
        <v>135</v>
      </c>
      <c r="N15" s="69" t="s">
        <v>136</v>
      </c>
      <c r="O15" s="66" t="s">
        <v>137</v>
      </c>
      <c r="P15" s="66" t="s">
        <v>138</v>
      </c>
      <c r="Q15" s="29" t="s">
        <v>139</v>
      </c>
      <c r="R15" s="30"/>
      <c r="S15" s="30"/>
    </row>
    <row r="16" spans="1:19" ht="18" customHeight="1" x14ac:dyDescent="0.2">
      <c r="A16" s="38" t="s">
        <v>140</v>
      </c>
      <c r="B16" s="38" t="s">
        <v>141</v>
      </c>
      <c r="C16" s="39" t="s">
        <v>142</v>
      </c>
      <c r="D16" s="40">
        <v>15</v>
      </c>
      <c r="E16" s="41">
        <v>367</v>
      </c>
      <c r="F16" s="78"/>
      <c r="G16" s="94">
        <f>E16*115%</f>
        <v>422.04999999999995</v>
      </c>
      <c r="H16" s="86"/>
      <c r="I16" s="40">
        <v>320</v>
      </c>
      <c r="J16" s="40">
        <v>220</v>
      </c>
      <c r="K16" s="40">
        <v>228</v>
      </c>
      <c r="L16" s="38" t="s">
        <v>104</v>
      </c>
      <c r="M16" s="38" t="s">
        <v>143</v>
      </c>
      <c r="N16" s="42" t="s">
        <v>144</v>
      </c>
      <c r="O16" s="38"/>
      <c r="P16" s="38" t="s">
        <v>145</v>
      </c>
      <c r="Q16" s="29"/>
      <c r="R16" s="30"/>
      <c r="S16" s="30"/>
    </row>
    <row r="17" spans="1:19" ht="18" customHeight="1" x14ac:dyDescent="0.2">
      <c r="A17" s="38" t="s">
        <v>146</v>
      </c>
      <c r="B17" s="38" t="s">
        <v>147</v>
      </c>
      <c r="C17" s="39" t="s">
        <v>148</v>
      </c>
      <c r="D17" s="40">
        <v>5</v>
      </c>
      <c r="E17" s="41">
        <v>1827</v>
      </c>
      <c r="F17" s="78"/>
      <c r="G17" s="94">
        <v>2520</v>
      </c>
      <c r="H17" s="86"/>
      <c r="I17" s="40">
        <v>270</v>
      </c>
      <c r="J17" s="40">
        <v>200</v>
      </c>
      <c r="K17" s="40">
        <v>170</v>
      </c>
      <c r="L17" s="38" t="s">
        <v>104</v>
      </c>
      <c r="M17" s="38" t="s">
        <v>149</v>
      </c>
      <c r="N17" s="42" t="s">
        <v>150</v>
      </c>
      <c r="O17" s="38" t="s">
        <v>151</v>
      </c>
      <c r="P17" s="38" t="s">
        <v>152</v>
      </c>
      <c r="Q17" s="29" t="s">
        <v>153</v>
      </c>
      <c r="R17" s="30"/>
      <c r="S17" s="30"/>
    </row>
    <row r="18" spans="1:19" ht="18" customHeight="1" x14ac:dyDescent="0.2">
      <c r="A18" s="70" t="s">
        <v>154</v>
      </c>
      <c r="B18" s="70" t="s">
        <v>155</v>
      </c>
      <c r="C18" s="39" t="s">
        <v>156</v>
      </c>
      <c r="D18" s="71">
        <v>12</v>
      </c>
      <c r="E18" s="70">
        <v>454</v>
      </c>
      <c r="F18" s="79"/>
      <c r="G18" s="95">
        <v>514</v>
      </c>
      <c r="H18" s="87"/>
      <c r="I18" s="71">
        <v>220</v>
      </c>
      <c r="J18" s="71">
        <v>320</v>
      </c>
      <c r="K18" s="71">
        <v>228</v>
      </c>
      <c r="L18" s="38" t="s">
        <v>104</v>
      </c>
      <c r="M18" s="38" t="s">
        <v>143</v>
      </c>
      <c r="N18" s="71" t="s">
        <v>144</v>
      </c>
      <c r="O18" s="70"/>
      <c r="P18" s="38" t="s">
        <v>145</v>
      </c>
      <c r="Q18" s="36" t="s">
        <v>157</v>
      </c>
    </row>
    <row r="19" spans="1:19" ht="18" customHeight="1" x14ac:dyDescent="0.2">
      <c r="C19" s="37"/>
      <c r="G19" s="96"/>
      <c r="H19" s="2"/>
      <c r="I19" s="1"/>
      <c r="J19" s="1"/>
      <c r="K19" s="1"/>
      <c r="L19" s="1"/>
      <c r="N19" s="1"/>
      <c r="Q19" s="19"/>
    </row>
    <row r="20" spans="1:19" ht="18" customHeight="1" x14ac:dyDescent="0.2">
      <c r="A20" s="38" t="s">
        <v>158</v>
      </c>
      <c r="B20" s="38" t="s">
        <v>159</v>
      </c>
      <c r="C20" s="39" t="s">
        <v>160</v>
      </c>
      <c r="D20" s="40">
        <v>10</v>
      </c>
      <c r="E20" s="41">
        <v>980</v>
      </c>
      <c r="F20" s="78"/>
      <c r="G20" s="94">
        <f>E20*115%</f>
        <v>1127</v>
      </c>
      <c r="H20" s="86"/>
      <c r="I20" s="40">
        <v>426</v>
      </c>
      <c r="J20" s="40">
        <v>306</v>
      </c>
      <c r="K20" s="40">
        <v>290</v>
      </c>
      <c r="L20" s="38" t="s">
        <v>104</v>
      </c>
      <c r="M20" s="38" t="s">
        <v>161</v>
      </c>
      <c r="N20" s="42" t="s">
        <v>162</v>
      </c>
      <c r="O20" s="38" t="s">
        <v>163</v>
      </c>
      <c r="P20" s="38" t="s">
        <v>164</v>
      </c>
      <c r="Q20" s="43"/>
      <c r="R20" s="30"/>
      <c r="S20" s="30"/>
    </row>
    <row r="21" spans="1:19" ht="18" customHeight="1" x14ac:dyDescent="0.2">
      <c r="A21" s="38" t="s">
        <v>165</v>
      </c>
      <c r="B21" s="38" t="s">
        <v>166</v>
      </c>
      <c r="C21" s="39" t="s">
        <v>167</v>
      </c>
      <c r="D21" s="40">
        <v>6</v>
      </c>
      <c r="E21" s="41">
        <v>1640</v>
      </c>
      <c r="F21" s="78"/>
      <c r="G21" s="94">
        <f>E21*108%</f>
        <v>1771.2</v>
      </c>
      <c r="H21" s="86"/>
      <c r="I21" s="40">
        <v>420</v>
      </c>
      <c r="J21" s="40">
        <v>600</v>
      </c>
      <c r="K21" s="40">
        <v>330</v>
      </c>
      <c r="L21" s="38" t="s">
        <v>104</v>
      </c>
      <c r="M21" s="38" t="s">
        <v>105</v>
      </c>
      <c r="N21" s="42" t="s">
        <v>106</v>
      </c>
      <c r="O21" s="38" t="s">
        <v>168</v>
      </c>
      <c r="P21" s="38" t="s">
        <v>169</v>
      </c>
      <c r="Q21" s="43"/>
      <c r="R21" s="30"/>
      <c r="S21" s="30"/>
    </row>
    <row r="22" spans="1:19" ht="18" customHeight="1" x14ac:dyDescent="0.2">
      <c r="A22" s="38" t="s">
        <v>170</v>
      </c>
      <c r="B22" s="38" t="s">
        <v>171</v>
      </c>
      <c r="C22" s="39" t="s">
        <v>172</v>
      </c>
      <c r="D22" s="40">
        <v>10</v>
      </c>
      <c r="E22" s="41">
        <v>750</v>
      </c>
      <c r="F22" s="78"/>
      <c r="G22" s="94">
        <f>E22*115%</f>
        <v>862.49999999999989</v>
      </c>
      <c r="H22" s="86"/>
      <c r="I22" s="40">
        <v>270</v>
      </c>
      <c r="J22" s="40">
        <v>390</v>
      </c>
      <c r="K22" s="40">
        <v>230</v>
      </c>
      <c r="L22" s="38" t="s">
        <v>104</v>
      </c>
      <c r="M22" s="38"/>
      <c r="N22" s="42"/>
      <c r="O22" s="38"/>
      <c r="P22" s="38"/>
      <c r="Q22" s="43"/>
      <c r="R22" s="30"/>
      <c r="S22" s="30"/>
    </row>
    <row r="23" spans="1:19" ht="18" customHeight="1" x14ac:dyDescent="0.2">
      <c r="A23" s="38" t="s">
        <v>173</v>
      </c>
      <c r="B23" s="38" t="s">
        <v>174</v>
      </c>
      <c r="C23" s="39" t="s">
        <v>175</v>
      </c>
      <c r="D23" s="40">
        <v>6</v>
      </c>
      <c r="E23" s="41">
        <v>1100</v>
      </c>
      <c r="F23" s="78"/>
      <c r="G23" s="94">
        <f t="shared" ref="G23:G24" si="0">E23*108%</f>
        <v>1188</v>
      </c>
      <c r="H23" s="86"/>
      <c r="I23" s="40">
        <v>257</v>
      </c>
      <c r="J23" s="40">
        <v>172</v>
      </c>
      <c r="K23" s="40">
        <v>285</v>
      </c>
      <c r="L23" s="38" t="s">
        <v>104</v>
      </c>
      <c r="M23" s="38" t="s">
        <v>105</v>
      </c>
      <c r="N23" s="42" t="s">
        <v>106</v>
      </c>
      <c r="O23" s="38" t="s">
        <v>107</v>
      </c>
      <c r="P23" s="38" t="s">
        <v>125</v>
      </c>
      <c r="Q23" s="43"/>
      <c r="R23" s="30"/>
      <c r="S23" s="30"/>
    </row>
    <row r="24" spans="1:19" ht="18" customHeight="1" x14ac:dyDescent="0.2">
      <c r="A24" s="38" t="s">
        <v>140</v>
      </c>
      <c r="B24" s="38" t="s">
        <v>176</v>
      </c>
      <c r="C24" s="39" t="s">
        <v>177</v>
      </c>
      <c r="D24" s="40">
        <v>6</v>
      </c>
      <c r="E24" s="41">
        <v>500</v>
      </c>
      <c r="F24" s="78"/>
      <c r="G24" s="94">
        <f t="shared" si="0"/>
        <v>540</v>
      </c>
      <c r="H24" s="86"/>
      <c r="I24" s="40">
        <v>326</v>
      </c>
      <c r="J24" s="40">
        <v>221</v>
      </c>
      <c r="K24" s="40">
        <v>340</v>
      </c>
      <c r="L24" s="38" t="s">
        <v>104</v>
      </c>
      <c r="M24" s="38" t="s">
        <v>105</v>
      </c>
      <c r="N24" s="42" t="s">
        <v>106</v>
      </c>
      <c r="O24" s="38" t="s">
        <v>107</v>
      </c>
      <c r="P24" s="38" t="s">
        <v>125</v>
      </c>
      <c r="Q24" s="43"/>
      <c r="R24" s="30"/>
      <c r="S24" s="30"/>
    </row>
    <row r="25" spans="1:19" ht="18" customHeight="1" thickBot="1" x14ac:dyDescent="0.25">
      <c r="A25" s="38" t="s">
        <v>178</v>
      </c>
      <c r="B25" s="38"/>
      <c r="C25" s="39" t="s">
        <v>179</v>
      </c>
      <c r="D25" s="40">
        <v>12</v>
      </c>
      <c r="E25" s="41">
        <v>750</v>
      </c>
      <c r="F25" s="78"/>
      <c r="G25" s="97">
        <f>E25*108%</f>
        <v>810</v>
      </c>
      <c r="H25" s="86"/>
      <c r="I25" s="40"/>
      <c r="J25" s="40"/>
      <c r="K25" s="40"/>
      <c r="L25" s="38" t="s">
        <v>104</v>
      </c>
      <c r="M25" s="38"/>
      <c r="N25" s="42"/>
      <c r="O25" s="38"/>
      <c r="P25" s="38"/>
      <c r="Q25" s="43"/>
      <c r="R25" s="30"/>
      <c r="S25" s="30"/>
    </row>
  </sheetData>
  <phoneticPr fontId="2"/>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vt:i4>
      </vt:variant>
    </vt:vector>
  </HeadingPairs>
  <TitlesOfParts>
    <vt:vector size="11" baseType="lpstr">
      <vt:lpstr>第20期売上推移表（ロイヤリテー管理）</vt:lpstr>
      <vt:lpstr>①海外ロイヤリテー請求一覧</vt:lpstr>
      <vt:lpstr>③海外請求一覧輸出（食材・備品・その他）</vt:lpstr>
      <vt:lpstr>KR Meet Up</vt:lpstr>
      <vt:lpstr>TWC Royalty 相殺 </vt:lpstr>
      <vt:lpstr>ベトナムRoyalty未入金</vt:lpstr>
      <vt:lpstr>②海外請求一覧（サポート費用）</vt:lpstr>
      <vt:lpstr>ロイヤリティーについて</vt:lpstr>
      <vt:lpstr>海外への請求について（食材・サポート・その他）</vt:lpstr>
      <vt:lpstr>輸出食材一覧</vt:lpstr>
      <vt:lpstr>'第20期売上推移表（ロイヤリテー管理）'!Print_Area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NPCuser12</dc:creator>
  <cp:lastModifiedBy>048 NPC</cp:lastModifiedBy>
  <cp:lastPrinted>2026-01-20T01:20:52Z</cp:lastPrinted>
  <dcterms:created xsi:type="dcterms:W3CDTF">2016-02-19T04:10:53Z</dcterms:created>
  <dcterms:modified xsi:type="dcterms:W3CDTF">2026-04-16T08:48:56Z</dcterms:modified>
</cp:coreProperties>
</file>